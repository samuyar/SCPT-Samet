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et\Desktop\Master\SCPT-Samet\"/>
    </mc:Choice>
  </mc:AlternateContent>
  <xr:revisionPtr revIDLastSave="0" documentId="13_ncr:1_{2D2BE45F-5A0C-4980-AD61-3D1BD83CCDE8}" xr6:coauthVersionLast="47" xr6:coauthVersionMax="47" xr10:uidLastSave="{00000000-0000-0000-0000-000000000000}"/>
  <bookViews>
    <workbookView xWindow="28680" yWindow="-1065" windowWidth="29040" windowHeight="15720" xr2:uid="{00000000-000D-0000-FFFF-FFFF00000000}"/>
  </bookViews>
  <sheets>
    <sheet name="Auswert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T4" i="1"/>
  <c r="S4" i="1"/>
  <c r="R4" i="1"/>
  <c r="Q4" i="1"/>
  <c r="U3" i="1"/>
  <c r="T3" i="1"/>
  <c r="S3" i="1"/>
  <c r="R3" i="1"/>
  <c r="Q3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<sst xmlns="http://schemas.openxmlformats.org/spreadsheetml/2006/main" count="53" uniqueCount="53">
  <si>
    <t>x0</t>
  </si>
  <si>
    <t>Error</t>
  </si>
  <si>
    <t>beta</t>
  </si>
  <si>
    <t>phi</t>
  </si>
  <si>
    <t>sigmaz0</t>
  </si>
  <si>
    <t>deltaY</t>
  </si>
  <si>
    <t>y</t>
  </si>
  <si>
    <t>y1</t>
  </si>
  <si>
    <t>y2</t>
  </si>
  <si>
    <t>h1</t>
  </si>
  <si>
    <t>h2</t>
  </si>
  <si>
    <t>h3</t>
  </si>
  <si>
    <t>beta1</t>
  </si>
  <si>
    <t>beta2</t>
  </si>
  <si>
    <t>x1</t>
  </si>
  <si>
    <t>sumN</t>
  </si>
  <si>
    <t>Vges</t>
  </si>
  <si>
    <t>Vuncr</t>
  </si>
  <si>
    <t>Vfpz</t>
  </si>
  <si>
    <t>Vai</t>
  </si>
  <si>
    <t>Vda</t>
  </si>
  <si>
    <t>Fcc</t>
  </si>
  <si>
    <t>Fct</t>
  </si>
  <si>
    <t>Ffpz</t>
  </si>
  <si>
    <t>FaiPa</t>
  </si>
  <si>
    <t>FaiOr</t>
  </si>
  <si>
    <t>Fs</t>
  </si>
  <si>
    <t>rel_beta</t>
  </si>
  <si>
    <t>rel_phi</t>
  </si>
  <si>
    <t>rel_sigma</t>
  </si>
  <si>
    <t>rel_deltaY</t>
  </si>
  <si>
    <t>relN</t>
  </si>
  <si>
    <t>beta_calc</t>
  </si>
  <si>
    <t>phi_calc</t>
  </si>
  <si>
    <t>sigmaz0_calc</t>
  </si>
  <si>
    <t>deltaY_calc</t>
  </si>
  <si>
    <t>wfpz</t>
  </si>
  <si>
    <t>wbot0</t>
  </si>
  <si>
    <t>wreinf</t>
  </si>
  <si>
    <t>deltabot</t>
  </si>
  <si>
    <t>deltak</t>
  </si>
  <si>
    <t>epsilons</t>
  </si>
  <si>
    <t>epsiloncr</t>
  </si>
  <si>
    <t>epsilontop</t>
  </si>
  <si>
    <t>tau0</t>
  </si>
  <si>
    <t>sigmax0</t>
  </si>
  <si>
    <t>sigma1</t>
  </si>
  <si>
    <t>Vges [kN]</t>
  </si>
  <si>
    <t>Vuncr [kN]</t>
  </si>
  <si>
    <t>Vfpz [kN]</t>
  </si>
  <si>
    <t>Vai [kN]</t>
  </si>
  <si>
    <t>Vda [kN]</t>
  </si>
  <si>
    <t>mit beton werten, 16dag und stahlbewehrung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</si>
</sst>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Standard" xfId="0" builtinId="0"/>
  </cellStyles>
  <dxfs count="2"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Traganteile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Vges [kN]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8.1290213351335794</c:v>
                </c:pt>
                <c:pt idx="1">
                  <c:v>8.1712818337553408</c:v>
                </c:pt>
                <c:pt idx="2">
                  <c:v>8.2158888737369278</c:v>
                </c:pt>
              </c:numCache>
            </c:numRef>
          </c:xVal>
          <c:yVal>
            <c:numRef>
              <c:f>Auswertung!$Q$2:$Q$4</c:f>
              <c:numCache>
                <c:formatCode>0.0000</c:formatCode>
                <c:ptCount val="3"/>
                <c:pt idx="0">
                  <c:v>8.1290213351335794</c:v>
                </c:pt>
                <c:pt idx="1">
                  <c:v>8.1712818337553408</c:v>
                </c:pt>
                <c:pt idx="2">
                  <c:v>8.2158888737369278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13-47F2-A1CA-F129985E2364}"/>
            </c:ext>
          </c:extLst>
        </c:ser>
        <c:ser>
          <c:idx val="1"/>
          <c:order val="1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8.1290213351335794</c:v>
                </c:pt>
                <c:pt idx="1">
                  <c:v>8.1712818337553408</c:v>
                </c:pt>
                <c:pt idx="2">
                  <c:v>8.2158888737369278</c:v>
                </c:pt>
              </c:numCache>
            </c:numRef>
          </c:xVal>
          <c:yVal>
            <c:numRef>
              <c:f>Auswertung!$R$2:$R$4</c:f>
              <c:numCache>
                <c:formatCode>0.0000</c:formatCode>
                <c:ptCount val="3"/>
                <c:pt idx="0">
                  <c:v>8.1290213351335794</c:v>
                </c:pt>
                <c:pt idx="1">
                  <c:v>8.1712813983019004</c:v>
                </c:pt>
                <c:pt idx="2">
                  <c:v>8.2158889200318068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13-47F2-A1CA-F129985E2364}"/>
            </c:ext>
          </c:extLst>
        </c:ser>
        <c:ser>
          <c:idx val="2"/>
          <c:order val="2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8.1290213351335794</c:v>
                </c:pt>
                <c:pt idx="1">
                  <c:v>8.1712818337553408</c:v>
                </c:pt>
                <c:pt idx="2">
                  <c:v>8.2158888737369278</c:v>
                </c:pt>
              </c:numCache>
            </c:numRef>
          </c:xVal>
          <c:yVal>
            <c:numRef>
              <c:f>Auswertung!$S$2:$S$4</c:f>
              <c:numCache>
                <c:formatCode>0.0000</c:formatCode>
                <c:ptCount val="3"/>
                <c:pt idx="0">
                  <c:v>1.608626250611797E-18</c:v>
                </c:pt>
                <c:pt idx="1">
                  <c:v>3.7741401765572849E-7</c:v>
                </c:pt>
                <c:pt idx="2">
                  <c:v>-4.174696841671329E-8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13-47F2-A1CA-F129985E2364}"/>
            </c:ext>
          </c:extLst>
        </c:ser>
        <c:ser>
          <c:idx val="3"/>
          <c:order val="3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8.1290213351335794</c:v>
                </c:pt>
                <c:pt idx="1">
                  <c:v>8.1712818337553408</c:v>
                </c:pt>
                <c:pt idx="2">
                  <c:v>8.2158888737369278</c:v>
                </c:pt>
              </c:numCache>
            </c:numRef>
          </c:xVal>
          <c:yVal>
            <c:numRef>
              <c:f>Auswertung!$T$2:$T$4</c:f>
              <c:numCache>
                <c:formatCode>0.0000</c:formatCode>
                <c:ptCount val="3"/>
                <c:pt idx="0">
                  <c:v>4.524181560138505E-23</c:v>
                </c:pt>
                <c:pt idx="1">
                  <c:v>4.2086540902583757E-12</c:v>
                </c:pt>
                <c:pt idx="2">
                  <c:v>3.2831242931022951E-12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13-47F2-A1CA-F129985E2364}"/>
            </c:ext>
          </c:extLst>
        </c:ser>
        <c:ser>
          <c:idx val="4"/>
          <c:order val="4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8.1290213351335794</c:v>
                </c:pt>
                <c:pt idx="1">
                  <c:v>8.1712818337553408</c:v>
                </c:pt>
                <c:pt idx="2">
                  <c:v>8.2158888737369278</c:v>
                </c:pt>
              </c:numCache>
            </c:numRef>
          </c:xVal>
          <c:yVal>
            <c:numRef>
              <c:f>Auswertung!$U$2:$U$4</c:f>
              <c:numCache>
                <c:formatCode>0.0000</c:formatCode>
                <c:ptCount val="3"/>
                <c:pt idx="0">
                  <c:v>8.3274581065887817E-19</c:v>
                </c:pt>
                <c:pt idx="1">
                  <c:v>5.8035214491218095E-8</c:v>
                </c:pt>
                <c:pt idx="2">
                  <c:v>-4.5511930638364214E-9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13-47F2-A1CA-F129985E2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10002"/>
        <c:crosses val="autoZero"/>
        <c:crossBetween val="midCat"/>
        <c:majorUnit val="20"/>
      </c:valAx>
      <c:valAx>
        <c:axId val="50010002"/>
        <c:scaling>
          <c:orientation val="minMax"/>
          <c:max val="120"/>
          <c:min val="0"/>
        </c:scaling>
        <c:delete val="0"/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10001"/>
        <c:crosses val="autoZero"/>
        <c:crossBetween val="midCat"/>
        <c:majorUnit val="2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Rissbreite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1.685354186793242E-2</c:v>
                </c:pt>
                <c:pt idx="1">
                  <c:v>1.6856840642051361E-2</c:v>
                </c:pt>
                <c:pt idx="2">
                  <c:v>1.6767463734504578E-2</c:v>
                </c:pt>
              </c:numCache>
            </c:numRef>
          </c:xVal>
          <c:yVal>
            <c:numRef>
              <c:f>Auswertung!$R$2:$R$4</c:f>
              <c:numCache>
                <c:formatCode>0.0000</c:formatCode>
                <c:ptCount val="3"/>
                <c:pt idx="0">
                  <c:v>8.1290213351335794</c:v>
                </c:pt>
                <c:pt idx="1">
                  <c:v>8.1712813983019004</c:v>
                </c:pt>
                <c:pt idx="2">
                  <c:v>8.2158889200318068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45-47B8-8435-D25F0B6F2981}"/>
            </c:ext>
          </c:extLst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1.685354186793242E-2</c:v>
                </c:pt>
                <c:pt idx="1">
                  <c:v>1.6856840642051361E-2</c:v>
                </c:pt>
                <c:pt idx="2">
                  <c:v>1.6767463734504578E-2</c:v>
                </c:pt>
              </c:numCache>
            </c:numRef>
          </c:xVal>
          <c:yVal>
            <c:numRef>
              <c:f>Auswertung!$S$2:$S$4</c:f>
              <c:numCache>
                <c:formatCode>0.0000</c:formatCode>
                <c:ptCount val="3"/>
                <c:pt idx="0">
                  <c:v>1.608626250611797E-18</c:v>
                </c:pt>
                <c:pt idx="1">
                  <c:v>3.7741401765572849E-7</c:v>
                </c:pt>
                <c:pt idx="2">
                  <c:v>-4.174696841671329E-8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45-47B8-8435-D25F0B6F2981}"/>
            </c:ext>
          </c:extLst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1.685354186793242E-2</c:v>
                </c:pt>
                <c:pt idx="1">
                  <c:v>1.6856840642051361E-2</c:v>
                </c:pt>
                <c:pt idx="2">
                  <c:v>1.6767463734504578E-2</c:v>
                </c:pt>
              </c:numCache>
            </c:numRef>
          </c:xVal>
          <c:yVal>
            <c:numRef>
              <c:f>Auswertung!$T$2:$T$4</c:f>
              <c:numCache>
                <c:formatCode>0.0000</c:formatCode>
                <c:ptCount val="3"/>
                <c:pt idx="0">
                  <c:v>4.524181560138505E-23</c:v>
                </c:pt>
                <c:pt idx="1">
                  <c:v>4.2086540902583757E-12</c:v>
                </c:pt>
                <c:pt idx="2">
                  <c:v>3.2831242931022951E-12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45-47B8-8435-D25F0B6F2981}"/>
            </c:ext>
          </c:extLst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1.685354186793242E-2</c:v>
                </c:pt>
                <c:pt idx="1">
                  <c:v>1.6856840642051361E-2</c:v>
                </c:pt>
                <c:pt idx="2">
                  <c:v>1.6767463734504578E-2</c:v>
                </c:pt>
              </c:numCache>
            </c:numRef>
          </c:xVal>
          <c:yVal>
            <c:numRef>
              <c:f>Auswertung!$U$2:$U$4</c:f>
              <c:numCache>
                <c:formatCode>0.0000</c:formatCode>
                <c:ptCount val="3"/>
                <c:pt idx="0">
                  <c:v>8.3274581065887817E-19</c:v>
                </c:pt>
                <c:pt idx="1">
                  <c:v>5.8035214491218095E-8</c:v>
                </c:pt>
                <c:pt idx="2">
                  <c:v>-4.5511930638364214E-9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45-47B8-8435-D25F0B6F2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0.25"/>
          <c:min val="0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 reinf [mm]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50020002"/>
        <c:crosses val="autoZero"/>
        <c:crossBetween val="midCat"/>
        <c:majorUnit val="0.05"/>
      </c:valAx>
      <c:valAx>
        <c:axId val="50020002"/>
        <c:scaling>
          <c:orientation val="minMax"/>
          <c:max val="40"/>
          <c:min val="0"/>
        </c:scaling>
        <c:delete val="0"/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20001"/>
        <c:crosses val="autoZero"/>
        <c:crossBetween val="midCat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Druckzonenhöhe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Auswertung!$R$2:$R$4</c:f>
              <c:numCache>
                <c:formatCode>0.0000</c:formatCode>
                <c:ptCount val="3"/>
                <c:pt idx="0">
                  <c:v>8.1290213351335794</c:v>
                </c:pt>
                <c:pt idx="1">
                  <c:v>8.1712813983019004</c:v>
                </c:pt>
                <c:pt idx="2">
                  <c:v>8.2158889200318068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52-4460-93AB-4049DA01CC20}"/>
            </c:ext>
          </c:extLst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Auswertung!$S$2:$S$4</c:f>
              <c:numCache>
                <c:formatCode>0.0000</c:formatCode>
                <c:ptCount val="3"/>
                <c:pt idx="0">
                  <c:v>1.608626250611797E-18</c:v>
                </c:pt>
                <c:pt idx="1">
                  <c:v>3.7741401765572849E-7</c:v>
                </c:pt>
                <c:pt idx="2">
                  <c:v>-4.174696841671329E-8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52-4460-93AB-4049DA01CC20}"/>
            </c:ext>
          </c:extLst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Auswertung!$T$2:$T$4</c:f>
              <c:numCache>
                <c:formatCode>0.0000</c:formatCode>
                <c:ptCount val="3"/>
                <c:pt idx="0">
                  <c:v>4.524181560138505E-23</c:v>
                </c:pt>
                <c:pt idx="1">
                  <c:v>4.2086540902583757E-12</c:v>
                </c:pt>
                <c:pt idx="2">
                  <c:v>3.2831242931022951E-12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52-4460-93AB-4049DA01CC20}"/>
            </c:ext>
          </c:extLst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Auswertung!$U$2:$U$4</c:f>
              <c:numCache>
                <c:formatCode>0.0000</c:formatCode>
                <c:ptCount val="3"/>
                <c:pt idx="0">
                  <c:v>8.3274581065887817E-19</c:v>
                </c:pt>
                <c:pt idx="1">
                  <c:v>5.8035214491218095E-8</c:v>
                </c:pt>
                <c:pt idx="2">
                  <c:v>-4.5511930638364214E-9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52-4460-93AB-4049DA01C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200"/>
          <c:min val="50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x0 [mm]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30002"/>
        <c:crosses val="autoZero"/>
        <c:crossBetween val="midCat"/>
        <c:majorUnit val="25"/>
      </c:valAx>
      <c:valAx>
        <c:axId val="50030002"/>
        <c:scaling>
          <c:orientation val="minMax"/>
          <c:max val="40"/>
          <c:min val="0"/>
        </c:scaling>
        <c:delete val="0"/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30001"/>
        <c:crosses val="autoZero"/>
        <c:crossBetween val="midCat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8</xdr:row>
      <xdr:rowOff>95250</xdr:rowOff>
    </xdr:from>
    <xdr:to>
      <xdr:col>8</xdr:col>
      <xdr:colOff>266700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790575</xdr:colOff>
      <xdr:row>8</xdr:row>
      <xdr:rowOff>104775</xdr:rowOff>
    </xdr:from>
    <xdr:to>
      <xdr:col>15</xdr:col>
      <xdr:colOff>295275</xdr:colOff>
      <xdr:row>31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781050</xdr:colOff>
      <xdr:row>8</xdr:row>
      <xdr:rowOff>85725</xdr:rowOff>
    </xdr:from>
    <xdr:to>
      <xdr:col>22</xdr:col>
      <xdr:colOff>285750</xdr:colOff>
      <xdr:row>30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baseColWidth="10" defaultColWidth="9.140625" defaultRowHeight="15" x14ac:dyDescent="0.25"/>
  <cols>
    <col min="1" max="1" width="12.28515625" customWidth="1"/>
    <col min="2" max="2" width="12.28515625" style="1" customWidth="1"/>
    <col min="3" max="32" width="12.28515625" customWidth="1"/>
    <col min="33" max="37" width="12.28515625" style="1" customWidth="1"/>
    <col min="38" max="47" width="12.28515625" customWidth="1"/>
    <col min="48" max="48" width="12.28515625" style="1" customWidth="1"/>
    <col min="49" max="53" width="12.28515625" customWidth="1"/>
  </cols>
  <sheetData>
    <row r="1" spans="1:5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</row>
    <row r="2" spans="1:52" x14ac:dyDescent="0.25">
      <c r="A2">
        <v>91.8</v>
      </c>
      <c r="B2" s="1">
        <v>6.6773915494269297E-3</v>
      </c>
      <c r="C2">
        <v>1.55258777038128</v>
      </c>
      <c r="D2">
        <v>1.909579277394504E-4</v>
      </c>
      <c r="E2">
        <v>4.4633333441546491E-3</v>
      </c>
      <c r="F2">
        <v>0</v>
      </c>
      <c r="G2">
        <v>0.34500059045307863</v>
      </c>
      <c r="H2">
        <v>0.1035001771359236</v>
      </c>
      <c r="I2">
        <v>0.24150041331715499</v>
      </c>
      <c r="J2">
        <v>6.3375580320346443E-18</v>
      </c>
      <c r="K2">
        <v>1.478763540808084E-17</v>
      </c>
      <c r="L2">
        <v>2.1125193440115481E-17</v>
      </c>
      <c r="M2">
        <v>1.570796326794897</v>
      </c>
      <c r="N2">
        <v>1.570796326794897</v>
      </c>
      <c r="O2">
        <v>87.855525261055675</v>
      </c>
      <c r="P2">
        <v>14849.382237848329</v>
      </c>
      <c r="Q2" s="4">
        <f t="shared" ref="Q2:U4" si="0">V2/1000</f>
        <v>8.1290213351335794</v>
      </c>
      <c r="R2" s="4">
        <f t="shared" si="0"/>
        <v>8.1290213351335794</v>
      </c>
      <c r="S2" s="4">
        <f t="shared" si="0"/>
        <v>1.608626250611797E-18</v>
      </c>
      <c r="T2" s="4">
        <f t="shared" si="0"/>
        <v>4.524181560138505E-23</v>
      </c>
      <c r="U2" s="4">
        <f t="shared" si="0"/>
        <v>8.3274581065887817E-19</v>
      </c>
      <c r="V2">
        <v>8129.0213351335797</v>
      </c>
      <c r="W2">
        <v>8129.0213351335797</v>
      </c>
      <c r="X2">
        <v>1.6086262506117971E-15</v>
      </c>
      <c r="Y2">
        <v>4.5241815601385053E-20</v>
      </c>
      <c r="Z2">
        <v>8.3274581065887816E-16</v>
      </c>
      <c r="AA2">
        <v>14527.15890704065</v>
      </c>
      <c r="AB2">
        <v>13305.56999473426</v>
      </c>
      <c r="AC2">
        <v>26.2708603285745</v>
      </c>
      <c r="AD2">
        <v>4.5241815601385053E-20</v>
      </c>
      <c r="AE2">
        <v>1.2332268865736611E-37</v>
      </c>
      <c r="AF2">
        <v>16044.700289826151</v>
      </c>
      <c r="AG2" s="1">
        <v>6.6140723320318173E-3</v>
      </c>
      <c r="AH2" s="1">
        <v>3.3641287595553848E-4</v>
      </c>
      <c r="AI2" s="1">
        <v>-2.8965418345472388E-4</v>
      </c>
      <c r="AJ2" s="1">
        <v>8.0282745463011729E-4</v>
      </c>
      <c r="AK2" s="1">
        <v>1.022180753502429</v>
      </c>
      <c r="AL2">
        <v>1.5625761731703189</v>
      </c>
      <c r="AM2">
        <v>1.9114638437423619E-4</v>
      </c>
      <c r="AN2">
        <v>5.3641016664076396E-3</v>
      </c>
      <c r="AO2">
        <v>-0.6555252610556721</v>
      </c>
      <c r="AP2">
        <v>1.6807395461347321E-2</v>
      </c>
      <c r="AQ2">
        <v>1.6807395461347321E-2</v>
      </c>
      <c r="AR2">
        <v>1.685354186793242E-2</v>
      </c>
      <c r="AS2">
        <v>1.027945158777496E-18</v>
      </c>
      <c r="AT2">
        <v>4.0366463654713827E-21</v>
      </c>
      <c r="AU2">
        <v>1.3380246906196541E-4</v>
      </c>
      <c r="AV2" s="1">
        <v>1.3323506690439451E-4</v>
      </c>
      <c r="AW2">
        <v>-1.392169599519215E-4</v>
      </c>
      <c r="AX2">
        <v>5.5923506929105631E-2</v>
      </c>
      <c r="AY2">
        <v>3.028966011004504</v>
      </c>
      <c r="AZ2">
        <v>3.03</v>
      </c>
    </row>
    <row r="3" spans="1:52" x14ac:dyDescent="0.25">
      <c r="A3">
        <v>90.9</v>
      </c>
      <c r="B3" s="1">
        <v>3.8387773338796698E-3</v>
      </c>
      <c r="C3">
        <v>1.55258777038128</v>
      </c>
      <c r="D3">
        <v>1.909579277394504E-4</v>
      </c>
      <c r="E3">
        <v>5.3628819556713406E-3</v>
      </c>
      <c r="F3">
        <v>1.105808667123805E-4</v>
      </c>
      <c r="G3">
        <v>0.34518147924136522</v>
      </c>
      <c r="H3">
        <v>0.1035544437724096</v>
      </c>
      <c r="I3">
        <v>0.24162703546895559</v>
      </c>
      <c r="J3">
        <v>1.4869671207516719E-6</v>
      </c>
      <c r="K3">
        <v>1.4795388778726021E-17</v>
      </c>
      <c r="L3">
        <v>1.4869671207688551E-6</v>
      </c>
      <c r="M3">
        <v>1.570781967516178</v>
      </c>
      <c r="N3">
        <v>1.570796326794897</v>
      </c>
      <c r="O3">
        <v>88.754818520596629</v>
      </c>
      <c r="P3">
        <v>15408.23332714503</v>
      </c>
      <c r="Q3" s="4">
        <f t="shared" si="0"/>
        <v>8.1712818337553408</v>
      </c>
      <c r="R3" s="4">
        <f t="shared" si="0"/>
        <v>8.1712813983019004</v>
      </c>
      <c r="S3" s="4">
        <f t="shared" si="0"/>
        <v>3.7741401765572849E-7</v>
      </c>
      <c r="T3" s="4">
        <f t="shared" si="0"/>
        <v>4.2086540902583757E-12</v>
      </c>
      <c r="U3" s="4">
        <f t="shared" si="0"/>
        <v>5.8035214491218095E-8</v>
      </c>
      <c r="V3">
        <v>8171.2818337553408</v>
      </c>
      <c r="W3">
        <v>8171.2813983018996</v>
      </c>
      <c r="X3">
        <v>3.7741401765572851E-4</v>
      </c>
      <c r="Y3">
        <v>4.2086540902583754E-9</v>
      </c>
      <c r="Z3">
        <v>5.8035214491218097E-5</v>
      </c>
      <c r="AA3">
        <v>14102.67697697511</v>
      </c>
      <c r="AB3">
        <v>13444.902980451119</v>
      </c>
      <c r="AC3">
        <v>26.283633396318219</v>
      </c>
      <c r="AD3">
        <v>4.2086540902583754E-9</v>
      </c>
      <c r="AE3">
        <v>3.1397220191490631E-18</v>
      </c>
      <c r="AF3">
        <v>16039.723690275399</v>
      </c>
      <c r="AG3" s="1">
        <v>3.8288251624982732E-3</v>
      </c>
      <c r="AH3" s="1">
        <v>-1.755219998728075E-4</v>
      </c>
      <c r="AI3" s="1">
        <v>2.1330850819700761E-4</v>
      </c>
      <c r="AJ3" s="1">
        <v>8.955555812484306E-7</v>
      </c>
      <c r="AK3" s="1">
        <v>1.0925750729667461</v>
      </c>
      <c r="AL3">
        <v>1.566370316968003</v>
      </c>
      <c r="AM3">
        <v>1.8915692363300759E-4</v>
      </c>
      <c r="AN3">
        <v>5.3650421228087124E-3</v>
      </c>
      <c r="AO3">
        <v>1.8088895028256499E-4</v>
      </c>
      <c r="AP3">
        <v>1.6811127189910159E-2</v>
      </c>
      <c r="AQ3">
        <v>1.6811127191639252E-2</v>
      </c>
      <c r="AR3">
        <v>1.6856840642051361E-2</v>
      </c>
      <c r="AS3">
        <v>2.8131950283780621E-10</v>
      </c>
      <c r="AT3">
        <v>2.8131950386999E-10</v>
      </c>
      <c r="AU3">
        <v>1.337609674261982E-4</v>
      </c>
      <c r="AV3" s="1">
        <v>1.3326615645151751E-4</v>
      </c>
      <c r="AW3">
        <v>-1.3648716569266339E-4</v>
      </c>
      <c r="AX3">
        <v>3.1458839890402317E-2</v>
      </c>
      <c r="AY3">
        <v>3.029672800768799</v>
      </c>
      <c r="AZ3">
        <v>3.03</v>
      </c>
    </row>
    <row r="4" spans="1:52" x14ac:dyDescent="0.25">
      <c r="A4">
        <v>90</v>
      </c>
      <c r="B4" s="1">
        <v>1.202348847036325E-3</v>
      </c>
      <c r="C4">
        <v>1.55258777038128</v>
      </c>
      <c r="D4">
        <v>1.909579277394504E-4</v>
      </c>
      <c r="E4">
        <v>5.3625456321310183E-3</v>
      </c>
      <c r="F4">
        <v>0</v>
      </c>
      <c r="G4">
        <v>0.34481890955321992</v>
      </c>
      <c r="H4">
        <v>0.103445672865966</v>
      </c>
      <c r="I4">
        <v>0.24137323668725391</v>
      </c>
      <c r="J4">
        <v>-1.1413599324695361E-7</v>
      </c>
      <c r="K4">
        <v>-3.6443674302888831E-9</v>
      </c>
      <c r="L4">
        <v>-1.1778036069575461E-7</v>
      </c>
      <c r="M4">
        <v>-1.5707952234525331</v>
      </c>
      <c r="N4">
        <v>-1.570796311696423</v>
      </c>
      <c r="O4">
        <v>89.655181093423636</v>
      </c>
      <c r="P4">
        <v>15965.28481478707</v>
      </c>
      <c r="Q4" s="4">
        <f t="shared" si="0"/>
        <v>8.2158888737369278</v>
      </c>
      <c r="R4" s="4">
        <f t="shared" si="0"/>
        <v>8.2158889200318068</v>
      </c>
      <c r="S4" s="4">
        <f t="shared" si="0"/>
        <v>-4.174696841671329E-8</v>
      </c>
      <c r="T4" s="4">
        <f t="shared" si="0"/>
        <v>3.2831242931022951E-12</v>
      </c>
      <c r="U4" s="4">
        <f t="shared" si="0"/>
        <v>-4.5511930638364214E-9</v>
      </c>
      <c r="V4">
        <v>8215.8888737369271</v>
      </c>
      <c r="W4">
        <v>8215.8889200318063</v>
      </c>
      <c r="X4">
        <v>-4.1746968416713292E-5</v>
      </c>
      <c r="Y4">
        <v>3.283124293102295E-9</v>
      </c>
      <c r="Z4">
        <v>-4.551193063836421E-6</v>
      </c>
      <c r="AA4">
        <v>13687.400032599549</v>
      </c>
      <c r="AB4">
        <v>13582.71929884344</v>
      </c>
      <c r="AC4">
        <v>-37.836821805869057</v>
      </c>
      <c r="AD4">
        <v>-3.283124293102295E-9</v>
      </c>
      <c r="AE4">
        <v>-2.0230565859378981E-18</v>
      </c>
      <c r="AF4">
        <v>16032.128726737339</v>
      </c>
      <c r="AG4" s="1">
        <v>6.5446656058609776E-4</v>
      </c>
      <c r="AH4" s="1">
        <v>-7.1097197938929657E-4</v>
      </c>
      <c r="AI4" s="1">
        <v>-7.1537941294341767E-4</v>
      </c>
      <c r="AJ4" s="1">
        <v>8.2104265528570863E-6</v>
      </c>
      <c r="AK4" s="1">
        <v>1.1664220214768499</v>
      </c>
      <c r="AL4">
        <v>1.5700920168759509</v>
      </c>
      <c r="AM4">
        <v>1.871766824490772E-4</v>
      </c>
      <c r="AN4">
        <v>5.3570981788414454E-3</v>
      </c>
      <c r="AO4">
        <v>-3.6257266499717389E-4</v>
      </c>
      <c r="AP4">
        <v>-1.681267532034016E-2</v>
      </c>
      <c r="AQ4">
        <v>1.681267532035037E-2</v>
      </c>
      <c r="AR4">
        <v>1.6767463734504578E-2</v>
      </c>
      <c r="AS4">
        <v>2.324669389164699E-10</v>
      </c>
      <c r="AT4">
        <v>-2.2061422225714999E-11</v>
      </c>
      <c r="AU4">
        <v>1.3369763032076949E-4</v>
      </c>
      <c r="AV4" s="1">
        <v>1.3328015020965439E-4</v>
      </c>
      <c r="AW4">
        <v>-1.3379275321935379E-4</v>
      </c>
      <c r="AX4">
        <v>5.2362923506210314E-3</v>
      </c>
      <c r="AY4">
        <v>3.029990934866285</v>
      </c>
      <c r="AZ4">
        <v>3.03</v>
      </c>
    </row>
    <row r="6" spans="1:52" x14ac:dyDescent="0.25">
      <c r="B6" s="1" t="s">
        <v>52</v>
      </c>
    </row>
  </sheetData>
  <conditionalFormatting sqref="P2:P5">
    <cfRule type="cellIs" dxfId="1" priority="1" operator="greaterThan">
      <formula>1</formula>
    </cfRule>
    <cfRule type="cellIs" dxfId="0" priority="2" operator="lessThan">
      <formula>-1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Auswertung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Samet Uyar</cp:lastModifiedBy>
  <dcterms:created xsi:type="dcterms:W3CDTF">2025-12-27T10:50:07Z</dcterms:created>
  <dcterms:modified xsi:type="dcterms:W3CDTF">2025-12-27T12:22:35Z</dcterms:modified>
</cp:coreProperties>
</file>