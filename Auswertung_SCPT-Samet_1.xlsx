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et\Desktop\Master\SCPT-Samet\"/>
    </mc:Choice>
  </mc:AlternateContent>
  <xr:revisionPtr revIDLastSave="0" documentId="13_ncr:1_{5BE55059-54EF-4709-B9F8-2BF3B629FEF6}" xr6:coauthVersionLast="47" xr6:coauthVersionMax="47" xr10:uidLastSave="{00000000-0000-0000-0000-000000000000}"/>
  <bookViews>
    <workbookView xWindow="28680" yWindow="-1065" windowWidth="29040" windowHeight="15720" xr2:uid="{00000000-000D-0000-FFFF-FFFF00000000}"/>
  </bookViews>
  <sheets>
    <sheet name="Auswertu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1" l="1"/>
  <c r="T4" i="1"/>
  <c r="S4" i="1"/>
  <c r="R4" i="1"/>
  <c r="Q4" i="1"/>
  <c r="U3" i="1"/>
  <c r="T3" i="1"/>
  <c r="S3" i="1"/>
  <c r="R3" i="1"/>
  <c r="Q3" i="1"/>
  <c r="U2" i="1"/>
  <c r="T2" i="1"/>
  <c r="S2" i="1"/>
  <c r="R2" i="1"/>
  <c r="Q2" i="1"/>
</calcChain>
</file>

<file path=xl/sharedStrings.xml><?xml version="1.0" encoding="utf-8"?>
<sst xmlns="http://schemas.openxmlformats.org/spreadsheetml/2006/main" count="52" uniqueCount="52">
  <si>
    <t>x0</t>
  </si>
  <si>
    <t>Error</t>
  </si>
  <si>
    <t>beta</t>
  </si>
  <si>
    <t>phi</t>
  </si>
  <si>
    <t>sigmaz0</t>
  </si>
  <si>
    <t>deltaY</t>
  </si>
  <si>
    <t>y</t>
  </si>
  <si>
    <t>y1</t>
  </si>
  <si>
    <t>y2</t>
  </si>
  <si>
    <t>h1</t>
  </si>
  <si>
    <t>h2</t>
  </si>
  <si>
    <t>h3</t>
  </si>
  <si>
    <t>beta1</t>
  </si>
  <si>
    <t>beta2</t>
  </si>
  <si>
    <t>x1</t>
  </si>
  <si>
    <t>sumN</t>
  </si>
  <si>
    <t>Vges</t>
  </si>
  <si>
    <t>Vuncr</t>
  </si>
  <si>
    <t>Vfpz</t>
  </si>
  <si>
    <t>Vai</t>
  </si>
  <si>
    <t>Vda</t>
  </si>
  <si>
    <t>Fcc</t>
  </si>
  <si>
    <t>Fct</t>
  </si>
  <si>
    <t>Ffpz</t>
  </si>
  <si>
    <t>FaiPa</t>
  </si>
  <si>
    <t>FaiOr</t>
  </si>
  <si>
    <t>Fs</t>
  </si>
  <si>
    <t>rel_beta</t>
  </si>
  <si>
    <t>rel_phi</t>
  </si>
  <si>
    <t>rel_sigma</t>
  </si>
  <si>
    <t>rel_deltaY</t>
  </si>
  <si>
    <t>relN</t>
  </si>
  <si>
    <t>beta_calc</t>
  </si>
  <si>
    <t>phi_calc</t>
  </si>
  <si>
    <t>sigmaz0_calc</t>
  </si>
  <si>
    <t>deltaY_calc</t>
  </si>
  <si>
    <t>wfpz</t>
  </si>
  <si>
    <t>wbot0</t>
  </si>
  <si>
    <t>wreinf</t>
  </si>
  <si>
    <t>deltabot</t>
  </si>
  <si>
    <t>deltak</t>
  </si>
  <si>
    <t>epsilons</t>
  </si>
  <si>
    <t>epsiloncr</t>
  </si>
  <si>
    <t>epsilontop</t>
  </si>
  <si>
    <t>tau0</t>
  </si>
  <si>
    <t>sigmax0</t>
  </si>
  <si>
    <t>sigma1</t>
  </si>
  <si>
    <t>Vges [kN]</t>
  </si>
  <si>
    <t>Vuncr [kN]</t>
  </si>
  <si>
    <t>Vfpz [kN]</t>
  </si>
  <si>
    <t>Vai [kN]</t>
  </si>
  <si>
    <t>Vda [kN]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</si>
</sst>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sz val="11"/>
      <color rgb="FF80808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164" fontId="3" fillId="0" borderId="0" xfId="0" applyNumberFormat="1" applyFont="1"/>
  </cellXfs>
  <cellStyles count="1">
    <cellStyle name="Standard" xfId="0" builtinId="0"/>
  </cellStyles>
  <dxfs count="2">
    <dxf>
      <fill>
        <patternFill>
          <bgColor rgb="FFFFCCCC"/>
        </patternFill>
      </fill>
    </dxf>
    <dxf>
      <fill>
        <patternFill>
          <bgColor rgb="FFFF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Traganteile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Vges [kN]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Auswertung!$Q$2:$Q$4</c:f>
              <c:numCache>
                <c:formatCode>0.0000</c:formatCode>
                <c:ptCount val="3"/>
                <c:pt idx="0">
                  <c:v>6.3545367891309663</c:v>
                </c:pt>
                <c:pt idx="1">
                  <c:v>6.3832829011555274</c:v>
                </c:pt>
                <c:pt idx="2">
                  <c:v>6.4224306564378653</c:v>
                </c:pt>
              </c:numCache>
            </c:numRef>
          </c:xVal>
          <c:yVal>
            <c:numRef>
              <c:f>Auswertung!$Q$2:$Q$4</c:f>
              <c:numCache>
                <c:formatCode>0.0000</c:formatCode>
                <c:ptCount val="3"/>
                <c:pt idx="0">
                  <c:v>6.3545367891309663</c:v>
                </c:pt>
                <c:pt idx="1">
                  <c:v>6.3832829011555274</c:v>
                </c:pt>
                <c:pt idx="2">
                  <c:v>6.4224306564378653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16-47E7-BDFA-9EBADE431554}"/>
            </c:ext>
          </c:extLst>
        </c:ser>
        <c:ser>
          <c:idx val="1"/>
          <c:order val="1"/>
          <c:tx>
            <c:v>Vuncr [kN]</c:v>
          </c:tx>
          <c:spPr>
            <a:ln w="12700">
              <a:solidFill>
                <a:srgbClr val="006400"/>
              </a:solidFill>
            </a:ln>
          </c:spPr>
          <c:marker>
            <c:symbol val="none"/>
          </c:marker>
          <c:xVal>
            <c:numRef>
              <c:f>Auswertung!$Q$2:$Q$4</c:f>
              <c:numCache>
                <c:formatCode>0.0000</c:formatCode>
                <c:ptCount val="3"/>
                <c:pt idx="0">
                  <c:v>6.3545367891309663</c:v>
                </c:pt>
                <c:pt idx="1">
                  <c:v>6.3832829011555274</c:v>
                </c:pt>
                <c:pt idx="2">
                  <c:v>6.4224306564378653</c:v>
                </c:pt>
              </c:numCache>
            </c:numRef>
          </c:xVal>
          <c:yVal>
            <c:numRef>
              <c:f>Auswertung!$R$2:$R$4</c:f>
              <c:numCache>
                <c:formatCode>0.0000</c:formatCode>
                <c:ptCount val="3"/>
                <c:pt idx="0">
                  <c:v>6.3524989380906485</c:v>
                </c:pt>
                <c:pt idx="1">
                  <c:v>6.3812626491947997</c:v>
                </c:pt>
                <c:pt idx="2">
                  <c:v>6.4208917333078874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16-47E7-BDFA-9EBADE431554}"/>
            </c:ext>
          </c:extLst>
        </c:ser>
        <c:ser>
          <c:idx val="2"/>
          <c:order val="2"/>
          <c:tx>
            <c:v>Vfpz [kN]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Auswertung!$Q$2:$Q$4</c:f>
              <c:numCache>
                <c:formatCode>0.0000</c:formatCode>
                <c:ptCount val="3"/>
                <c:pt idx="0">
                  <c:v>6.3545367891309663</c:v>
                </c:pt>
                <c:pt idx="1">
                  <c:v>6.3832829011555274</c:v>
                </c:pt>
                <c:pt idx="2">
                  <c:v>6.4224306564378653</c:v>
                </c:pt>
              </c:numCache>
            </c:numRef>
          </c:xVal>
          <c:yVal>
            <c:numRef>
              <c:f>Auswertung!$S$2:$S$4</c:f>
              <c:numCache>
                <c:formatCode>0.0000</c:formatCode>
                <c:ptCount val="3"/>
                <c:pt idx="0">
                  <c:v>1.169309146593603E-3</c:v>
                </c:pt>
                <c:pt idx="1">
                  <c:v>1.2603008207987001E-3</c:v>
                </c:pt>
                <c:pt idx="2">
                  <c:v>5.5202390100594337E-4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16-47E7-BDFA-9EBADE431554}"/>
            </c:ext>
          </c:extLst>
        </c:ser>
        <c:ser>
          <c:idx val="3"/>
          <c:order val="3"/>
          <c:tx>
            <c:v>Vai [kN]</c:v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Auswertung!$Q$2:$Q$4</c:f>
              <c:numCache>
                <c:formatCode>0.0000</c:formatCode>
                <c:ptCount val="3"/>
                <c:pt idx="0">
                  <c:v>6.3545367891309663</c:v>
                </c:pt>
                <c:pt idx="1">
                  <c:v>6.3832829011555274</c:v>
                </c:pt>
                <c:pt idx="2">
                  <c:v>6.4224306564378653</c:v>
                </c:pt>
              </c:numCache>
            </c:numRef>
          </c:xVal>
          <c:yVal>
            <c:numRef>
              <c:f>Auswertung!$T$2:$T$4</c:f>
              <c:numCache>
                <c:formatCode>0.0000</c:formatCode>
                <c:ptCount val="3"/>
                <c:pt idx="0">
                  <c:v>4.3836908343055633E-4</c:v>
                </c:pt>
                <c:pt idx="1">
                  <c:v>3.7068131655338033E-4</c:v>
                </c:pt>
                <c:pt idx="2">
                  <c:v>5.5916498442463796E-4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F16-47E7-BDFA-9EBADE431554}"/>
            </c:ext>
          </c:extLst>
        </c:ser>
        <c:ser>
          <c:idx val="4"/>
          <c:order val="4"/>
          <c:tx>
            <c:v>Vda [kN]</c:v>
          </c:tx>
          <c:spPr>
            <a:ln w="12700"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Auswertung!$Q$2:$Q$4</c:f>
              <c:numCache>
                <c:formatCode>0.0000</c:formatCode>
                <c:ptCount val="3"/>
                <c:pt idx="0">
                  <c:v>6.3545367891309663</c:v>
                </c:pt>
                <c:pt idx="1">
                  <c:v>6.3832829011555274</c:v>
                </c:pt>
                <c:pt idx="2">
                  <c:v>6.4224306564378653</c:v>
                </c:pt>
              </c:numCache>
            </c:numRef>
          </c:xVal>
          <c:yVal>
            <c:numRef>
              <c:f>Auswertung!$U$2:$U$4</c:f>
              <c:numCache>
                <c:formatCode>0.0000</c:formatCode>
                <c:ptCount val="3"/>
                <c:pt idx="0">
                  <c:v>4.3017281029408426E-4</c:v>
                </c:pt>
                <c:pt idx="1">
                  <c:v>3.8926982337686937E-4</c:v>
                </c:pt>
                <c:pt idx="2">
                  <c:v>4.2773424454766926E-4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F16-47E7-BDFA-9EBADE431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  <c:max val="120"/>
          <c:min val="0"/>
        </c:scaling>
        <c:delete val="0"/>
        <c:axPos val="b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 [kN]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10002"/>
        <c:crosses val="autoZero"/>
        <c:crossBetween val="midCat"/>
        <c:majorUnit val="20"/>
      </c:valAx>
      <c:valAx>
        <c:axId val="50010002"/>
        <c:scaling>
          <c:orientation val="minMax"/>
          <c:max val="120"/>
          <c:min val="0"/>
        </c:scaling>
        <c:delete val="0"/>
        <c:axPos val="l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 [kN]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10001"/>
        <c:crosses val="autoZero"/>
        <c:crossBetween val="midCat"/>
        <c:majorUnit val="2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Rissbreite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Vuncr [kN]</c:v>
          </c:tx>
          <c:spPr>
            <a:ln w="12700">
              <a:solidFill>
                <a:srgbClr val="006400"/>
              </a:solidFill>
            </a:ln>
          </c:spPr>
          <c:marker>
            <c:symbol val="none"/>
          </c:marker>
          <c:xVal>
            <c:numRef>
              <c:f>Auswertung!$AR$2:$AR$4</c:f>
              <c:numCache>
                <c:formatCode>General</c:formatCode>
                <c:ptCount val="3"/>
                <c:pt idx="0">
                  <c:v>1.235305003172316E-2</c:v>
                </c:pt>
                <c:pt idx="1">
                  <c:v>1.233383196052998E-2</c:v>
                </c:pt>
                <c:pt idx="2">
                  <c:v>1.237574209050972E-2</c:v>
                </c:pt>
              </c:numCache>
            </c:numRef>
          </c:xVal>
          <c:yVal>
            <c:numRef>
              <c:f>Auswertung!$R$2:$R$4</c:f>
              <c:numCache>
                <c:formatCode>0.0000</c:formatCode>
                <c:ptCount val="3"/>
                <c:pt idx="0">
                  <c:v>6.3524989380906485</c:v>
                </c:pt>
                <c:pt idx="1">
                  <c:v>6.3812626491947997</c:v>
                </c:pt>
                <c:pt idx="2">
                  <c:v>6.4208917333078874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72-4C2C-858E-844F51C4878E}"/>
            </c:ext>
          </c:extLst>
        </c:ser>
        <c:ser>
          <c:idx val="1"/>
          <c:order val="1"/>
          <c:tx>
            <c:v>Vfpz [kN]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Auswertung!$AR$2:$AR$4</c:f>
              <c:numCache>
                <c:formatCode>General</c:formatCode>
                <c:ptCount val="3"/>
                <c:pt idx="0">
                  <c:v>1.235305003172316E-2</c:v>
                </c:pt>
                <c:pt idx="1">
                  <c:v>1.233383196052998E-2</c:v>
                </c:pt>
                <c:pt idx="2">
                  <c:v>1.237574209050972E-2</c:v>
                </c:pt>
              </c:numCache>
            </c:numRef>
          </c:xVal>
          <c:yVal>
            <c:numRef>
              <c:f>Auswertung!$S$2:$S$4</c:f>
              <c:numCache>
                <c:formatCode>0.0000</c:formatCode>
                <c:ptCount val="3"/>
                <c:pt idx="0">
                  <c:v>1.169309146593603E-3</c:v>
                </c:pt>
                <c:pt idx="1">
                  <c:v>1.2603008207987001E-3</c:v>
                </c:pt>
                <c:pt idx="2">
                  <c:v>5.5202390100594337E-4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72-4C2C-858E-844F51C4878E}"/>
            </c:ext>
          </c:extLst>
        </c:ser>
        <c:ser>
          <c:idx val="2"/>
          <c:order val="2"/>
          <c:tx>
            <c:v>Vai [kN]</c:v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Auswertung!$AR$2:$AR$4</c:f>
              <c:numCache>
                <c:formatCode>General</c:formatCode>
                <c:ptCount val="3"/>
                <c:pt idx="0">
                  <c:v>1.235305003172316E-2</c:v>
                </c:pt>
                <c:pt idx="1">
                  <c:v>1.233383196052998E-2</c:v>
                </c:pt>
                <c:pt idx="2">
                  <c:v>1.237574209050972E-2</c:v>
                </c:pt>
              </c:numCache>
            </c:numRef>
          </c:xVal>
          <c:yVal>
            <c:numRef>
              <c:f>Auswertung!$T$2:$T$4</c:f>
              <c:numCache>
                <c:formatCode>0.0000</c:formatCode>
                <c:ptCount val="3"/>
                <c:pt idx="0">
                  <c:v>4.3836908343055633E-4</c:v>
                </c:pt>
                <c:pt idx="1">
                  <c:v>3.7068131655338033E-4</c:v>
                </c:pt>
                <c:pt idx="2">
                  <c:v>5.5916498442463796E-4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72-4C2C-858E-844F51C4878E}"/>
            </c:ext>
          </c:extLst>
        </c:ser>
        <c:ser>
          <c:idx val="3"/>
          <c:order val="3"/>
          <c:tx>
            <c:v>Vda [kN]</c:v>
          </c:tx>
          <c:spPr>
            <a:ln w="12700"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Auswertung!$AR$2:$AR$4</c:f>
              <c:numCache>
                <c:formatCode>General</c:formatCode>
                <c:ptCount val="3"/>
                <c:pt idx="0">
                  <c:v>1.235305003172316E-2</c:v>
                </c:pt>
                <c:pt idx="1">
                  <c:v>1.233383196052998E-2</c:v>
                </c:pt>
                <c:pt idx="2">
                  <c:v>1.237574209050972E-2</c:v>
                </c:pt>
              </c:numCache>
            </c:numRef>
          </c:xVal>
          <c:yVal>
            <c:numRef>
              <c:f>Auswertung!$U$2:$U$4</c:f>
              <c:numCache>
                <c:formatCode>0.0000</c:formatCode>
                <c:ptCount val="3"/>
                <c:pt idx="0">
                  <c:v>4.3017281029408426E-4</c:v>
                </c:pt>
                <c:pt idx="1">
                  <c:v>3.8926982337686937E-4</c:v>
                </c:pt>
                <c:pt idx="2">
                  <c:v>4.2773424454766926E-4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72-4C2C-858E-844F51C48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  <c:max val="0.25"/>
          <c:min val="0"/>
        </c:scaling>
        <c:delete val="0"/>
        <c:axPos val="b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 reinf [mm]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50020002"/>
        <c:crosses val="autoZero"/>
        <c:crossBetween val="midCat"/>
        <c:majorUnit val="0.05"/>
      </c:valAx>
      <c:valAx>
        <c:axId val="50020002"/>
        <c:scaling>
          <c:orientation val="minMax"/>
          <c:max val="40"/>
          <c:min val="0"/>
        </c:scaling>
        <c:delete val="0"/>
        <c:axPos val="l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 [kN]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20001"/>
        <c:crosses val="autoZero"/>
        <c:crossBetween val="midCat"/>
        <c:majorUnit val="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Druckzonenhöhe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Vuncr [kN]</c:v>
          </c:tx>
          <c:spPr>
            <a:ln w="12700">
              <a:solidFill>
                <a:srgbClr val="006400"/>
              </a:solidFill>
            </a:ln>
          </c:spPr>
          <c:marker>
            <c:symbol val="none"/>
          </c:marker>
          <c:xVal>
            <c:numRef>
              <c:f>Auswertung!$A$2:$A$4</c:f>
              <c:numCache>
                <c:formatCode>General</c:formatCode>
                <c:ptCount val="3"/>
                <c:pt idx="0">
                  <c:v>91.8</c:v>
                </c:pt>
                <c:pt idx="1">
                  <c:v>90.9</c:v>
                </c:pt>
                <c:pt idx="2">
                  <c:v>90</c:v>
                </c:pt>
              </c:numCache>
            </c:numRef>
          </c:xVal>
          <c:yVal>
            <c:numRef>
              <c:f>Auswertung!$R$2:$R$4</c:f>
              <c:numCache>
                <c:formatCode>0.0000</c:formatCode>
                <c:ptCount val="3"/>
                <c:pt idx="0">
                  <c:v>6.3524989380906485</c:v>
                </c:pt>
                <c:pt idx="1">
                  <c:v>6.3812626491947997</c:v>
                </c:pt>
                <c:pt idx="2">
                  <c:v>6.4208917333078874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B7-4EB6-A7C2-AC00AEA3FA5E}"/>
            </c:ext>
          </c:extLst>
        </c:ser>
        <c:ser>
          <c:idx val="1"/>
          <c:order val="1"/>
          <c:tx>
            <c:v>Vfpz [kN]</c:v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Auswertung!$A$2:$A$4</c:f>
              <c:numCache>
                <c:formatCode>General</c:formatCode>
                <c:ptCount val="3"/>
                <c:pt idx="0">
                  <c:v>91.8</c:v>
                </c:pt>
                <c:pt idx="1">
                  <c:v>90.9</c:v>
                </c:pt>
                <c:pt idx="2">
                  <c:v>90</c:v>
                </c:pt>
              </c:numCache>
            </c:numRef>
          </c:xVal>
          <c:yVal>
            <c:numRef>
              <c:f>Auswertung!$S$2:$S$4</c:f>
              <c:numCache>
                <c:formatCode>0.0000</c:formatCode>
                <c:ptCount val="3"/>
                <c:pt idx="0">
                  <c:v>1.169309146593603E-3</c:v>
                </c:pt>
                <c:pt idx="1">
                  <c:v>1.2603008207987001E-3</c:v>
                </c:pt>
                <c:pt idx="2">
                  <c:v>5.5202390100594337E-4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B7-4EB6-A7C2-AC00AEA3FA5E}"/>
            </c:ext>
          </c:extLst>
        </c:ser>
        <c:ser>
          <c:idx val="2"/>
          <c:order val="2"/>
          <c:tx>
            <c:v>Vai [kN]</c:v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xVal>
            <c:numRef>
              <c:f>Auswertung!$A$2:$A$4</c:f>
              <c:numCache>
                <c:formatCode>General</c:formatCode>
                <c:ptCount val="3"/>
                <c:pt idx="0">
                  <c:v>91.8</c:v>
                </c:pt>
                <c:pt idx="1">
                  <c:v>90.9</c:v>
                </c:pt>
                <c:pt idx="2">
                  <c:v>90</c:v>
                </c:pt>
              </c:numCache>
            </c:numRef>
          </c:xVal>
          <c:yVal>
            <c:numRef>
              <c:f>Auswertung!$T$2:$T$4</c:f>
              <c:numCache>
                <c:formatCode>0.0000</c:formatCode>
                <c:ptCount val="3"/>
                <c:pt idx="0">
                  <c:v>4.3836908343055633E-4</c:v>
                </c:pt>
                <c:pt idx="1">
                  <c:v>3.7068131655338033E-4</c:v>
                </c:pt>
                <c:pt idx="2">
                  <c:v>5.5916498442463796E-4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DB7-4EB6-A7C2-AC00AEA3FA5E}"/>
            </c:ext>
          </c:extLst>
        </c:ser>
        <c:ser>
          <c:idx val="3"/>
          <c:order val="3"/>
          <c:tx>
            <c:v>Vda [kN]</c:v>
          </c:tx>
          <c:spPr>
            <a:ln w="12700">
              <a:solidFill>
                <a:srgbClr val="ED7D31"/>
              </a:solidFill>
            </a:ln>
          </c:spPr>
          <c:marker>
            <c:symbol val="none"/>
          </c:marker>
          <c:xVal>
            <c:numRef>
              <c:f>Auswertung!$A$2:$A$4</c:f>
              <c:numCache>
                <c:formatCode>General</c:formatCode>
                <c:ptCount val="3"/>
                <c:pt idx="0">
                  <c:v>91.8</c:v>
                </c:pt>
                <c:pt idx="1">
                  <c:v>90.9</c:v>
                </c:pt>
                <c:pt idx="2">
                  <c:v>90</c:v>
                </c:pt>
              </c:numCache>
            </c:numRef>
          </c:xVal>
          <c:yVal>
            <c:numRef>
              <c:f>Auswertung!$U$2:$U$4</c:f>
              <c:numCache>
                <c:formatCode>0.0000</c:formatCode>
                <c:ptCount val="3"/>
                <c:pt idx="0">
                  <c:v>4.3017281029408426E-4</c:v>
                </c:pt>
                <c:pt idx="1">
                  <c:v>3.8926982337686937E-4</c:v>
                </c:pt>
                <c:pt idx="2">
                  <c:v>4.2773424454766926E-4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DB7-4EB6-A7C2-AC00AEA3F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  <c:max val="200"/>
          <c:min val="50"/>
        </c:scaling>
        <c:delete val="0"/>
        <c:axPos val="b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x0 [mm]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30002"/>
        <c:crosses val="autoZero"/>
        <c:crossBetween val="midCat"/>
        <c:majorUnit val="25"/>
      </c:valAx>
      <c:valAx>
        <c:axId val="50030002"/>
        <c:scaling>
          <c:orientation val="minMax"/>
          <c:max val="40"/>
          <c:min val="0"/>
        </c:scaling>
        <c:delete val="0"/>
        <c:axPos val="l"/>
        <c:majorGridlines>
          <c:spPr>
            <a:ln w="6350">
              <a:solidFill>
                <a:srgbClr val="BFBFBF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Vi [kN]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030001"/>
        <c:crosses val="autoZero"/>
        <c:crossBetween val="midCat"/>
        <c:majorUnit val="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742950</xdr:colOff>
      <xdr:row>8</xdr:row>
      <xdr:rowOff>171450</xdr:rowOff>
    </xdr:from>
    <xdr:to>
      <xdr:col>7</xdr:col>
      <xdr:colOff>247650</xdr:colOff>
      <xdr:row>31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142875</xdr:colOff>
      <xdr:row>9</xdr:row>
      <xdr:rowOff>114300</xdr:rowOff>
    </xdr:from>
    <xdr:to>
      <xdr:col>14</xdr:col>
      <xdr:colOff>466725</xdr:colOff>
      <xdr:row>32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180975</xdr:colOff>
      <xdr:row>9</xdr:row>
      <xdr:rowOff>76200</xdr:rowOff>
    </xdr:from>
    <xdr:to>
      <xdr:col>21</xdr:col>
      <xdr:colOff>504825</xdr:colOff>
      <xdr:row>31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7" sqref="N7"/>
    </sheetView>
  </sheetViews>
  <sheetFormatPr baseColWidth="10" defaultColWidth="9.140625" defaultRowHeight="15" x14ac:dyDescent="0.25"/>
  <cols>
    <col min="1" max="1" width="12.28515625" customWidth="1"/>
    <col min="2" max="2" width="12.28515625" style="1" customWidth="1"/>
    <col min="3" max="32" width="12.28515625" customWidth="1"/>
    <col min="33" max="37" width="12.28515625" style="1" customWidth="1"/>
    <col min="38" max="47" width="12.28515625" customWidth="1"/>
    <col min="48" max="48" width="12.28515625" style="1" customWidth="1"/>
    <col min="49" max="53" width="12.28515625" customWidth="1"/>
  </cols>
  <sheetData>
    <row r="1" spans="1:5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47</v>
      </c>
      <c r="R1" s="3" t="s">
        <v>48</v>
      </c>
      <c r="S1" s="3" t="s">
        <v>49</v>
      </c>
      <c r="T1" s="3" t="s">
        <v>50</v>
      </c>
      <c r="U1" s="3" t="s">
        <v>51</v>
      </c>
      <c r="V1" s="2" t="s">
        <v>16</v>
      </c>
      <c r="W1" s="2" t="s">
        <v>17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44</v>
      </c>
      <c r="AY1" s="2" t="s">
        <v>45</v>
      </c>
      <c r="AZ1" s="2" t="s">
        <v>46</v>
      </c>
    </row>
    <row r="2" spans="1:52" x14ac:dyDescent="0.25">
      <c r="A2">
        <v>91.8</v>
      </c>
      <c r="B2" s="1">
        <v>6.6445009079691177E-3</v>
      </c>
      <c r="C2">
        <v>1.55129712953749</v>
      </c>
      <c r="D2">
        <v>1.400848546264813E-4</v>
      </c>
      <c r="E2">
        <v>1.013042174394713E-2</v>
      </c>
      <c r="F2">
        <v>0</v>
      </c>
      <c r="G2">
        <v>0.96826040750537923</v>
      </c>
      <c r="H2">
        <v>0.29047812225161368</v>
      </c>
      <c r="I2">
        <v>0.67778228525376538</v>
      </c>
      <c r="J2">
        <v>5.0703144841286688E-3</v>
      </c>
      <c r="K2">
        <v>1.183073379630023E-2</v>
      </c>
      <c r="L2">
        <v>1.690104828042889E-2</v>
      </c>
      <c r="M2">
        <v>1.553343034274953</v>
      </c>
      <c r="N2">
        <v>1.553343034274953</v>
      </c>
      <c r="O2">
        <v>87.231740472109053</v>
      </c>
      <c r="P2">
        <v>10627.657376169829</v>
      </c>
      <c r="Q2" s="4">
        <f t="shared" ref="Q2:U4" si="0">V2/1000</f>
        <v>6.3545367891309663</v>
      </c>
      <c r="R2" s="4">
        <f t="shared" si="0"/>
        <v>6.3524989380906485</v>
      </c>
      <c r="S2" s="4">
        <f t="shared" si="0"/>
        <v>1.169309146593603E-3</v>
      </c>
      <c r="T2" s="4">
        <f t="shared" si="0"/>
        <v>4.3836908343055633E-4</v>
      </c>
      <c r="U2" s="4">
        <f t="shared" si="0"/>
        <v>4.3017281029408426E-4</v>
      </c>
      <c r="V2">
        <v>6354.5367891309661</v>
      </c>
      <c r="W2">
        <v>6352.4989380906482</v>
      </c>
      <c r="X2">
        <v>1.169309146593603</v>
      </c>
      <c r="Y2">
        <v>0.43836908343055631</v>
      </c>
      <c r="Z2">
        <v>0.43017281029408427</v>
      </c>
      <c r="AA2">
        <v>12554.22546903046</v>
      </c>
      <c r="AB2">
        <v>11335.838167020571</v>
      </c>
      <c r="AC2">
        <v>66.999880549172104</v>
      </c>
      <c r="AD2">
        <v>0.43844001818434097</v>
      </c>
      <c r="AE2">
        <v>2.382602879605004E-4</v>
      </c>
      <c r="AF2">
        <v>11779.062892094271</v>
      </c>
      <c r="AG2" s="1">
        <v>6.3869392624802401E-3</v>
      </c>
      <c r="AH2" s="1">
        <v>1.7858905253560491E-3</v>
      </c>
      <c r="AI2" s="1">
        <v>-4.0770843515025579E-4</v>
      </c>
      <c r="AJ2" s="1">
        <v>2.771347581287387E-5</v>
      </c>
      <c r="AK2" s="1">
        <v>0.84654026665259319</v>
      </c>
      <c r="AL2">
        <v>1.5612234373238481</v>
      </c>
      <c r="AM2">
        <v>1.403282855067249E-4</v>
      </c>
      <c r="AN2">
        <v>1.0081787928288771E-2</v>
      </c>
      <c r="AO2">
        <v>-3.1740472109049733E-2</v>
      </c>
      <c r="AP2">
        <v>1.225809310014222E-2</v>
      </c>
      <c r="AQ2">
        <v>1.225809310014222E-2</v>
      </c>
      <c r="AR2">
        <v>1.235305003172316E-2</v>
      </c>
      <c r="AS2">
        <v>2.132554626422068E-4</v>
      </c>
      <c r="AT2">
        <v>2.367467091411323E-6</v>
      </c>
      <c r="AU2">
        <v>9.8229799854707435E-5</v>
      </c>
      <c r="AV2" s="1">
        <v>9.6978240671031382E-5</v>
      </c>
      <c r="AW2">
        <v>-1.020569169595687E-4</v>
      </c>
      <c r="AX2">
        <v>5.0460619197049118E-2</v>
      </c>
      <c r="AY2">
        <v>2.599016849983641</v>
      </c>
      <c r="AZ2">
        <v>2.6</v>
      </c>
    </row>
    <row r="3" spans="1:52" x14ac:dyDescent="0.25">
      <c r="A3">
        <v>90.9</v>
      </c>
      <c r="B3" s="1">
        <v>4.015807133849734E-3</v>
      </c>
      <c r="C3">
        <v>1.55129712953749</v>
      </c>
      <c r="D3">
        <v>1.400848546264813E-4</v>
      </c>
      <c r="E3">
        <v>8.493611713353777E-3</v>
      </c>
      <c r="F3">
        <v>0</v>
      </c>
      <c r="G3">
        <v>0.81920634431709727</v>
      </c>
      <c r="H3">
        <v>0.2457619032951292</v>
      </c>
      <c r="I3">
        <v>0.57344444102196801</v>
      </c>
      <c r="J3">
        <v>5.4646166694849729E-3</v>
      </c>
      <c r="K3">
        <v>1.000950995076394E-2</v>
      </c>
      <c r="L3">
        <v>1.54741266202489E-2</v>
      </c>
      <c r="M3">
        <v>1.5485645802550281</v>
      </c>
      <c r="N3">
        <v>1.553343034274953</v>
      </c>
      <c r="O3">
        <v>88.280906187921786</v>
      </c>
      <c r="P3">
        <v>11106.968206344231</v>
      </c>
      <c r="Q3" s="4">
        <f t="shared" si="0"/>
        <v>6.3832829011555274</v>
      </c>
      <c r="R3" s="4">
        <f t="shared" si="0"/>
        <v>6.3812626491947997</v>
      </c>
      <c r="S3" s="4">
        <f t="shared" si="0"/>
        <v>1.2603008207987001E-3</v>
      </c>
      <c r="T3" s="4">
        <f t="shared" si="0"/>
        <v>3.7068131655338033E-4</v>
      </c>
      <c r="U3" s="4">
        <f t="shared" si="0"/>
        <v>3.8926982337686937E-4</v>
      </c>
      <c r="V3">
        <v>6383.2829011555277</v>
      </c>
      <c r="W3">
        <v>6381.2626491947995</v>
      </c>
      <c r="X3">
        <v>1.2603008207987001</v>
      </c>
      <c r="Y3">
        <v>0.37068131655338032</v>
      </c>
      <c r="Z3">
        <v>0.38926982337686938</v>
      </c>
      <c r="AA3">
        <v>12165.96682837255</v>
      </c>
      <c r="AB3">
        <v>11474.99292596596</v>
      </c>
      <c r="AC3">
        <v>56.693910301722113</v>
      </c>
      <c r="AD3">
        <v>0.37074129628138519</v>
      </c>
      <c r="AE3">
        <v>2.0134947395748629E-4</v>
      </c>
      <c r="AF3">
        <v>11741.268880016931</v>
      </c>
      <c r="AG3" s="1">
        <v>3.925849126109382E-3</v>
      </c>
      <c r="AH3" s="1">
        <v>1.284580078653175E-4</v>
      </c>
      <c r="AI3" s="1">
        <v>3.5766656302271832E-4</v>
      </c>
      <c r="AJ3" s="1">
        <v>7.5497598982710024E-4</v>
      </c>
      <c r="AK3" s="1">
        <v>0.91295401039902535</v>
      </c>
      <c r="AL3">
        <v>1.565372757619317</v>
      </c>
      <c r="AM3">
        <v>1.3846512220397461E-4</v>
      </c>
      <c r="AN3">
        <v>8.3587903786465894E-3</v>
      </c>
      <c r="AO3">
        <v>-0.14916659542717531</v>
      </c>
      <c r="AP3">
        <v>1.2253269604143651E-2</v>
      </c>
      <c r="AQ3">
        <v>1.2254428010840221E-2</v>
      </c>
      <c r="AR3">
        <v>1.233383196052998E-2</v>
      </c>
      <c r="AS3">
        <v>2.1314515971329389E-4</v>
      </c>
      <c r="AT3">
        <v>2.142351631249843E-6</v>
      </c>
      <c r="AU3">
        <v>9.7914622129953468E-5</v>
      </c>
      <c r="AV3" s="1">
        <v>9.700203505458157E-5</v>
      </c>
      <c r="AW3">
        <v>-9.9879864935820459E-5</v>
      </c>
      <c r="AX3">
        <v>2.992174455111745E-2</v>
      </c>
      <c r="AY3">
        <v>2.5996545394627861</v>
      </c>
      <c r="AZ3">
        <v>2.6</v>
      </c>
    </row>
    <row r="4" spans="1:52" x14ac:dyDescent="0.25">
      <c r="A4">
        <v>90</v>
      </c>
      <c r="B4" s="1">
        <v>1.809797931230508E-3</v>
      </c>
      <c r="C4">
        <v>1.55129712953749</v>
      </c>
      <c r="D4">
        <v>1.400848546264813E-4</v>
      </c>
      <c r="E4">
        <v>1.2073115875040889E-2</v>
      </c>
      <c r="F4">
        <v>0.30279448321776231</v>
      </c>
      <c r="G4">
        <v>1.1220008275348601</v>
      </c>
      <c r="H4">
        <v>0.33660024826045792</v>
      </c>
      <c r="I4">
        <v>0.78540057927440166</v>
      </c>
      <c r="J4">
        <v>2.3939279723412558E-3</v>
      </c>
      <c r="K4">
        <v>1.47224415759027E-2</v>
      </c>
      <c r="L4">
        <v>1.7116369548243911E-2</v>
      </c>
      <c r="M4">
        <v>1.563684366471138</v>
      </c>
      <c r="N4">
        <v>1.5520533847389639</v>
      </c>
      <c r="O4">
        <v>88.878035943701988</v>
      </c>
      <c r="P4">
        <v>11562.11032903068</v>
      </c>
      <c r="Q4" s="4">
        <f t="shared" si="0"/>
        <v>6.4224306564378653</v>
      </c>
      <c r="R4" s="4">
        <f t="shared" si="0"/>
        <v>6.4208917333078874</v>
      </c>
      <c r="S4" s="4">
        <f t="shared" si="0"/>
        <v>5.5202390100594337E-4</v>
      </c>
      <c r="T4" s="4">
        <f t="shared" si="0"/>
        <v>5.5916498442463796E-4</v>
      </c>
      <c r="U4" s="4">
        <f t="shared" si="0"/>
        <v>4.2773424454766926E-4</v>
      </c>
      <c r="V4">
        <v>6422.4306564378649</v>
      </c>
      <c r="W4">
        <v>6420.8917333078871</v>
      </c>
      <c r="X4">
        <v>0.55202390100594334</v>
      </c>
      <c r="Y4">
        <v>0.55916498442463791</v>
      </c>
      <c r="Z4">
        <v>0.42773424454766928</v>
      </c>
      <c r="AA4">
        <v>11847.3869958305</v>
      </c>
      <c r="AB4">
        <v>11553.84278641027</v>
      </c>
      <c r="AC4">
        <v>77.619746098534648</v>
      </c>
      <c r="AD4">
        <v>0.55926935075260253</v>
      </c>
      <c r="AE4">
        <v>3.2729627624149461E-4</v>
      </c>
      <c r="AF4">
        <v>11778.047564324779</v>
      </c>
      <c r="AG4" s="1">
        <v>1.798625417980704E-3</v>
      </c>
      <c r="AH4" s="1">
        <v>-1.5988970727431881E-4</v>
      </c>
      <c r="AI4" s="1">
        <v>1.692929720853442E-6</v>
      </c>
      <c r="AJ4" s="1">
        <v>-1.214395865303253E-4</v>
      </c>
      <c r="AK4" s="1">
        <v>0.97592071003502978</v>
      </c>
      <c r="AL4">
        <v>1.568488969492257</v>
      </c>
      <c r="AM4">
        <v>1.3750986574484641E-4</v>
      </c>
      <c r="AN4">
        <v>1.207313631397758E-2</v>
      </c>
      <c r="AO4">
        <v>0.30275771198091661</v>
      </c>
      <c r="AP4">
        <v>1.2269546507016371E-2</v>
      </c>
      <c r="AQ4">
        <v>1.226770551544127E-2</v>
      </c>
      <c r="AR4">
        <v>1.237574209050972E-2</v>
      </c>
      <c r="AS4">
        <v>2.2963052320255529E-4</v>
      </c>
      <c r="AT4">
        <v>2.3540460663546572E-6</v>
      </c>
      <c r="AU4">
        <v>9.8221332674890287E-5</v>
      </c>
      <c r="AV4" s="1">
        <v>9.7012390570699316E-5</v>
      </c>
      <c r="AW4">
        <v>-9.8237039766422023E-5</v>
      </c>
      <c r="AX4">
        <v>1.3259143043584699E-2</v>
      </c>
      <c r="AY4">
        <v>2.5999320672947421</v>
      </c>
      <c r="AZ4">
        <v>2.6</v>
      </c>
    </row>
  </sheetData>
  <conditionalFormatting sqref="P2:P5">
    <cfRule type="cellIs" dxfId="1" priority="1" operator="greaterThan">
      <formula>1</formula>
    </cfRule>
    <cfRule type="cellIs" dxfId="0" priority="2" operator="lessThan">
      <formula>-1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Auswertung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Samet Uyar</cp:lastModifiedBy>
  <dcterms:created xsi:type="dcterms:W3CDTF">2025-12-27T10:24:15Z</dcterms:created>
  <dcterms:modified xsi:type="dcterms:W3CDTF">2025-12-27T10:37:33Z</dcterms:modified>
</cp:coreProperties>
</file>