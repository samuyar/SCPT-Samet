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et\Desktop\Master\SCPT-Samet\"/>
    </mc:Choice>
  </mc:AlternateContent>
  <xr:revisionPtr revIDLastSave="0" documentId="13_ncr:1_{E2111BB9-742C-4E1C-A65E-C295F451D563}" xr6:coauthVersionLast="47" xr6:coauthVersionMax="47" xr10:uidLastSave="{00000000-0000-0000-0000-000000000000}"/>
  <bookViews>
    <workbookView xWindow="28680" yWindow="-1065" windowWidth="29040" windowHeight="15720" xr2:uid="{00000000-000D-0000-FFFF-FFFF00000000}"/>
  </bookViews>
  <sheets>
    <sheet name="Auswert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1" l="1"/>
  <c r="T4" i="1"/>
  <c r="S4" i="1"/>
  <c r="R4" i="1"/>
  <c r="Q4" i="1"/>
  <c r="U3" i="1"/>
  <c r="T3" i="1"/>
  <c r="S3" i="1"/>
  <c r="R3" i="1"/>
  <c r="Q3" i="1"/>
  <c r="U2" i="1"/>
  <c r="T2" i="1"/>
  <c r="S2" i="1"/>
  <c r="R2" i="1"/>
  <c r="Q2" i="1"/>
</calcChain>
</file>

<file path=xl/sharedStrings.xml><?xml version="1.0" encoding="utf-8"?>
<sst xmlns="http://schemas.openxmlformats.org/spreadsheetml/2006/main" count="52" uniqueCount="52">
  <si>
    <t>x0</t>
  </si>
  <si>
    <t>Error</t>
  </si>
  <si>
    <t>beta</t>
  </si>
  <si>
    <t>phi</t>
  </si>
  <si>
    <t>sigmaz0</t>
  </si>
  <si>
    <t>deltaY</t>
  </si>
  <si>
    <t>y</t>
  </si>
  <si>
    <t>y1</t>
  </si>
  <si>
    <t>y2</t>
  </si>
  <si>
    <t>h1</t>
  </si>
  <si>
    <t>h2</t>
  </si>
  <si>
    <t>h3</t>
  </si>
  <si>
    <t>beta1</t>
  </si>
  <si>
    <t>beta2</t>
  </si>
  <si>
    <t>x1</t>
  </si>
  <si>
    <t>sumN</t>
  </si>
  <si>
    <t>Vges</t>
  </si>
  <si>
    <t>Vuncr</t>
  </si>
  <si>
    <t>Vfpz</t>
  </si>
  <si>
    <t>Vai</t>
  </si>
  <si>
    <t>Vda</t>
  </si>
  <si>
    <t>Fcc</t>
  </si>
  <si>
    <t>Fct</t>
  </si>
  <si>
    <t>Ffpz</t>
  </si>
  <si>
    <t>FaiPa</t>
  </si>
  <si>
    <t>FaiOr</t>
  </si>
  <si>
    <t>Fs</t>
  </si>
  <si>
    <t>rel_beta</t>
  </si>
  <si>
    <t>rel_phi</t>
  </si>
  <si>
    <t>rel_sigma</t>
  </si>
  <si>
    <t>rel_deltaY</t>
  </si>
  <si>
    <t>relN</t>
  </si>
  <si>
    <t>beta_calc</t>
  </si>
  <si>
    <t>phi_calc</t>
  </si>
  <si>
    <t>sigmaz0_calc</t>
  </si>
  <si>
    <t>deltaY_calc</t>
  </si>
  <si>
    <t>wfpz</t>
  </si>
  <si>
    <t>wbot0</t>
  </si>
  <si>
    <t>wreinf</t>
  </si>
  <si>
    <t>deltabot</t>
  </si>
  <si>
    <t>deltak</t>
  </si>
  <si>
    <t>epsilons</t>
  </si>
  <si>
    <t>epsiloncr</t>
  </si>
  <si>
    <t>epsilontop</t>
  </si>
  <si>
    <t>tau0</t>
  </si>
  <si>
    <t>sigmax0</t>
  </si>
  <si>
    <t>sigma1</t>
  </si>
  <si>
    <t>Vges [kN]</t>
  </si>
  <si>
    <t>Vuncr [kN]</t>
  </si>
  <si>
    <t>Vfpz [kN]</t>
  </si>
  <si>
    <t>Vai [kN]</t>
  </si>
  <si>
    <t>Vda [kN]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</si>
</sst>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808080"/>
      <name val="Calibri"/>
      <family val="2"/>
      <scheme val="minor"/>
    </font>
    <font>
      <sz val="11"/>
      <color rgb="FF80808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1" fillId="0" borderId="0" xfId="0" applyFont="1"/>
    <xf numFmtId="0" fontId="2" fillId="0" borderId="0" xfId="0" applyFont="1"/>
    <xf numFmtId="164" fontId="3" fillId="0" borderId="0" xfId="0" applyNumberFormat="1" applyFont="1"/>
  </cellXfs>
  <cellStyles count="1">
    <cellStyle name="Standard" xfId="0" builtinId="0"/>
  </cellStyles>
  <dxfs count="2">
    <dxf>
      <fill>
        <patternFill>
          <bgColor rgb="FFFFCCCC"/>
        </patternFill>
      </fill>
    </dxf>
    <dxf>
      <fill>
        <patternFill>
          <bgColor rgb="FFFF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Traganteile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Vges [kN]</c:v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Auswertung!$Q$2:$Q$4</c:f>
              <c:numCache>
                <c:formatCode>0.0000</c:formatCode>
                <c:ptCount val="3"/>
                <c:pt idx="0">
                  <c:v>19.852390897432009</c:v>
                </c:pt>
                <c:pt idx="1">
                  <c:v>19.806267311800539</c:v>
                </c:pt>
                <c:pt idx="2">
                  <c:v>19.884363314534422</c:v>
                </c:pt>
              </c:numCache>
            </c:numRef>
          </c:xVal>
          <c:yVal>
            <c:numRef>
              <c:f>Auswertung!$Q$2:$Q$4</c:f>
              <c:numCache>
                <c:formatCode>0.0000</c:formatCode>
                <c:ptCount val="3"/>
                <c:pt idx="0">
                  <c:v>19.852390897432009</c:v>
                </c:pt>
                <c:pt idx="1">
                  <c:v>19.806267311800539</c:v>
                </c:pt>
                <c:pt idx="2">
                  <c:v>19.884363314534422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A-4BF8-8F60-DA6FE8E28F75}"/>
            </c:ext>
          </c:extLst>
        </c:ser>
        <c:ser>
          <c:idx val="1"/>
          <c:order val="1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Auswertung!$Q$2:$Q$4</c:f>
              <c:numCache>
                <c:formatCode>0.0000</c:formatCode>
                <c:ptCount val="3"/>
                <c:pt idx="0">
                  <c:v>19.852390897432009</c:v>
                </c:pt>
                <c:pt idx="1">
                  <c:v>19.806267311800539</c:v>
                </c:pt>
                <c:pt idx="2">
                  <c:v>19.884363314534422</c:v>
                </c:pt>
              </c:numCache>
            </c:numRef>
          </c:xVal>
          <c:yVal>
            <c:numRef>
              <c:f>Auswertung!$R$2:$R$4</c:f>
              <c:numCache>
                <c:formatCode>0.0000</c:formatCode>
                <c:ptCount val="3"/>
                <c:pt idx="0">
                  <c:v>19.651826986759598</c:v>
                </c:pt>
                <c:pt idx="1">
                  <c:v>19.39769930398618</c:v>
                </c:pt>
                <c:pt idx="2">
                  <c:v>19.400147121749612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A-4BF8-8F60-DA6FE8E28F75}"/>
            </c:ext>
          </c:extLst>
        </c:ser>
        <c:ser>
          <c:idx val="2"/>
          <c:order val="2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Auswertung!$Q$2:$Q$4</c:f>
              <c:numCache>
                <c:formatCode>0.0000</c:formatCode>
                <c:ptCount val="3"/>
                <c:pt idx="0">
                  <c:v>19.852390897432009</c:v>
                </c:pt>
                <c:pt idx="1">
                  <c:v>19.806267311800539</c:v>
                </c:pt>
                <c:pt idx="2">
                  <c:v>19.884363314534422</c:v>
                </c:pt>
              </c:numCache>
            </c:numRef>
          </c:xVal>
          <c:yVal>
            <c:numRef>
              <c:f>Auswertung!$S$2:$S$4</c:f>
              <c:numCache>
                <c:formatCode>0.0000</c:formatCode>
                <c:ptCount val="3"/>
                <c:pt idx="0">
                  <c:v>8.5225678811739064E-2</c:v>
                </c:pt>
                <c:pt idx="1">
                  <c:v>0.2370957122614516</c:v>
                </c:pt>
                <c:pt idx="2">
                  <c:v>0.28019660757032588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4CA-4BF8-8F60-DA6FE8E28F75}"/>
            </c:ext>
          </c:extLst>
        </c:ser>
        <c:ser>
          <c:idx val="3"/>
          <c:order val="3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Auswertung!$Q$2:$Q$4</c:f>
              <c:numCache>
                <c:formatCode>0.0000</c:formatCode>
                <c:ptCount val="3"/>
                <c:pt idx="0">
                  <c:v>19.852390897432009</c:v>
                </c:pt>
                <c:pt idx="1">
                  <c:v>19.806267311800539</c:v>
                </c:pt>
                <c:pt idx="2">
                  <c:v>19.884363314534422</c:v>
                </c:pt>
              </c:numCache>
            </c:numRef>
          </c:xVal>
          <c:yVal>
            <c:numRef>
              <c:f>Auswertung!$T$2:$T$4</c:f>
              <c:numCache>
                <c:formatCode>0.0000</c:formatCode>
                <c:ptCount val="3"/>
                <c:pt idx="0">
                  <c:v>5.7096940520143691E-2</c:v>
                </c:pt>
                <c:pt idx="1">
                  <c:v>6.4433980231703797E-2</c:v>
                </c:pt>
                <c:pt idx="2">
                  <c:v>7.6352451197918877E-2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4CA-4BF8-8F60-DA6FE8E28F75}"/>
            </c:ext>
          </c:extLst>
        </c:ser>
        <c:ser>
          <c:idx val="4"/>
          <c:order val="4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Auswertung!$Q$2:$Q$4</c:f>
              <c:numCache>
                <c:formatCode>0.0000</c:formatCode>
                <c:ptCount val="3"/>
                <c:pt idx="0">
                  <c:v>19.852390897432009</c:v>
                </c:pt>
                <c:pt idx="1">
                  <c:v>19.806267311800539</c:v>
                </c:pt>
                <c:pt idx="2">
                  <c:v>19.884363314534422</c:v>
                </c:pt>
              </c:numCache>
            </c:numRef>
          </c:xVal>
          <c:yVal>
            <c:numRef>
              <c:f>Auswertung!$U$2:$U$4</c:f>
              <c:numCache>
                <c:formatCode>0.0000</c:formatCode>
                <c:ptCount val="3"/>
                <c:pt idx="0">
                  <c:v>5.8241291340520598E-2</c:v>
                </c:pt>
                <c:pt idx="1">
                  <c:v>0.10703831532120719</c:v>
                </c:pt>
                <c:pt idx="2">
                  <c:v>0.12766713401657201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A-4BF8-8F60-DA6FE8E28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  <c:max val="120"/>
          <c:min val="0"/>
        </c:scaling>
        <c:delete val="0"/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 [kN]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50010002"/>
        <c:crosses val="autoZero"/>
        <c:crossBetween val="midCat"/>
        <c:majorUnit val="20"/>
      </c:valAx>
      <c:valAx>
        <c:axId val="50010002"/>
        <c:scaling>
          <c:orientation val="minMax"/>
          <c:max val="120"/>
          <c:min val="0"/>
        </c:scaling>
        <c:delete val="0"/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50010001"/>
        <c:crosses val="autoZero"/>
        <c:crossBetween val="midCat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Rissbreite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Auswertung!$AR$2:$AR$4</c:f>
              <c:numCache>
                <c:formatCode>General</c:formatCode>
                <c:ptCount val="3"/>
                <c:pt idx="0">
                  <c:v>2.4315179466650079E-2</c:v>
                </c:pt>
                <c:pt idx="1">
                  <c:v>2.5780935301394178E-2</c:v>
                </c:pt>
                <c:pt idx="2">
                  <c:v>2.6296213452920991E-2</c:v>
                </c:pt>
              </c:numCache>
            </c:numRef>
          </c:xVal>
          <c:yVal>
            <c:numRef>
              <c:f>Auswertung!$R$2:$R$4</c:f>
              <c:numCache>
                <c:formatCode>0.0000</c:formatCode>
                <c:ptCount val="3"/>
                <c:pt idx="0">
                  <c:v>19.651826986759598</c:v>
                </c:pt>
                <c:pt idx="1">
                  <c:v>19.39769930398618</c:v>
                </c:pt>
                <c:pt idx="2">
                  <c:v>19.400147121749612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A8-4858-9E88-54267C3DA8DD}"/>
            </c:ext>
          </c:extLst>
        </c:ser>
        <c:ser>
          <c:idx val="1"/>
          <c:order val="1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Auswertung!$AR$2:$AR$4</c:f>
              <c:numCache>
                <c:formatCode>General</c:formatCode>
                <c:ptCount val="3"/>
                <c:pt idx="0">
                  <c:v>2.4315179466650079E-2</c:v>
                </c:pt>
                <c:pt idx="1">
                  <c:v>2.5780935301394178E-2</c:v>
                </c:pt>
                <c:pt idx="2">
                  <c:v>2.6296213452920991E-2</c:v>
                </c:pt>
              </c:numCache>
            </c:numRef>
          </c:xVal>
          <c:yVal>
            <c:numRef>
              <c:f>Auswertung!$S$2:$S$4</c:f>
              <c:numCache>
                <c:formatCode>0.0000</c:formatCode>
                <c:ptCount val="3"/>
                <c:pt idx="0">
                  <c:v>8.5225678811739064E-2</c:v>
                </c:pt>
                <c:pt idx="1">
                  <c:v>0.2370957122614516</c:v>
                </c:pt>
                <c:pt idx="2">
                  <c:v>0.28019660757032588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A8-4858-9E88-54267C3DA8DD}"/>
            </c:ext>
          </c:extLst>
        </c:ser>
        <c:ser>
          <c:idx val="2"/>
          <c:order val="2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Auswertung!$AR$2:$AR$4</c:f>
              <c:numCache>
                <c:formatCode>General</c:formatCode>
                <c:ptCount val="3"/>
                <c:pt idx="0">
                  <c:v>2.4315179466650079E-2</c:v>
                </c:pt>
                <c:pt idx="1">
                  <c:v>2.5780935301394178E-2</c:v>
                </c:pt>
                <c:pt idx="2">
                  <c:v>2.6296213452920991E-2</c:v>
                </c:pt>
              </c:numCache>
            </c:numRef>
          </c:xVal>
          <c:yVal>
            <c:numRef>
              <c:f>Auswertung!$T$2:$T$4</c:f>
              <c:numCache>
                <c:formatCode>0.0000</c:formatCode>
                <c:ptCount val="3"/>
                <c:pt idx="0">
                  <c:v>5.7096940520143691E-2</c:v>
                </c:pt>
                <c:pt idx="1">
                  <c:v>6.4433980231703797E-2</c:v>
                </c:pt>
                <c:pt idx="2">
                  <c:v>7.6352451197918877E-2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A8-4858-9E88-54267C3DA8DD}"/>
            </c:ext>
          </c:extLst>
        </c:ser>
        <c:ser>
          <c:idx val="3"/>
          <c:order val="3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Auswertung!$AR$2:$AR$4</c:f>
              <c:numCache>
                <c:formatCode>General</c:formatCode>
                <c:ptCount val="3"/>
                <c:pt idx="0">
                  <c:v>2.4315179466650079E-2</c:v>
                </c:pt>
                <c:pt idx="1">
                  <c:v>2.5780935301394178E-2</c:v>
                </c:pt>
                <c:pt idx="2">
                  <c:v>2.6296213452920991E-2</c:v>
                </c:pt>
              </c:numCache>
            </c:numRef>
          </c:xVal>
          <c:yVal>
            <c:numRef>
              <c:f>Auswertung!$U$2:$U$4</c:f>
              <c:numCache>
                <c:formatCode>0.0000</c:formatCode>
                <c:ptCount val="3"/>
                <c:pt idx="0">
                  <c:v>5.8241291340520598E-2</c:v>
                </c:pt>
                <c:pt idx="1">
                  <c:v>0.10703831532120719</c:v>
                </c:pt>
                <c:pt idx="2">
                  <c:v>0.12766713401657201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6A8-4858-9E88-54267C3DA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  <c:max val="0.25"/>
          <c:min val="0"/>
        </c:scaling>
        <c:delete val="0"/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 reinf [mm]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50020002"/>
        <c:crosses val="autoZero"/>
        <c:crossBetween val="midCat"/>
        <c:majorUnit val="0.05"/>
      </c:valAx>
      <c:valAx>
        <c:axId val="50020002"/>
        <c:scaling>
          <c:orientation val="minMax"/>
          <c:max val="40"/>
          <c:min val="0"/>
        </c:scaling>
        <c:delete val="0"/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50020001"/>
        <c:crosses val="autoZero"/>
        <c:crossBetween val="midCat"/>
        <c:majorUnit val="5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Druckzonenhöhe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Vuncr [kN]</c:v>
          </c:tx>
          <c:spPr>
            <a:ln w="12700">
              <a:solidFill>
                <a:srgbClr val="006400"/>
              </a:solidFill>
            </a:ln>
          </c:spPr>
          <c:marker>
            <c:symbol val="none"/>
          </c:marker>
          <c:xVal>
            <c:numRef>
              <c:f>Auswertung!$A$2:$A$4</c:f>
              <c:numCache>
                <c:formatCode>General</c:formatCode>
                <c:ptCount val="3"/>
                <c:pt idx="0">
                  <c:v>153</c:v>
                </c:pt>
                <c:pt idx="1">
                  <c:v>151.5</c:v>
                </c:pt>
                <c:pt idx="2">
                  <c:v>150</c:v>
                </c:pt>
              </c:numCache>
            </c:numRef>
          </c:xVal>
          <c:yVal>
            <c:numRef>
              <c:f>Auswertung!$R$2:$R$4</c:f>
              <c:numCache>
                <c:formatCode>0.0000</c:formatCode>
                <c:ptCount val="3"/>
                <c:pt idx="0">
                  <c:v>19.651826986759598</c:v>
                </c:pt>
                <c:pt idx="1">
                  <c:v>19.39769930398618</c:v>
                </c:pt>
                <c:pt idx="2">
                  <c:v>19.400147121749612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2B-46CF-A05F-356C419E9D6B}"/>
            </c:ext>
          </c:extLst>
        </c:ser>
        <c:ser>
          <c:idx val="1"/>
          <c:order val="1"/>
          <c:tx>
            <c:v>Vfpz [kN]</c:v>
          </c:tx>
          <c:spPr>
            <a:ln w="127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Auswertung!$A$2:$A$4</c:f>
              <c:numCache>
                <c:formatCode>General</c:formatCode>
                <c:ptCount val="3"/>
                <c:pt idx="0">
                  <c:v>153</c:v>
                </c:pt>
                <c:pt idx="1">
                  <c:v>151.5</c:v>
                </c:pt>
                <c:pt idx="2">
                  <c:v>150</c:v>
                </c:pt>
              </c:numCache>
            </c:numRef>
          </c:xVal>
          <c:yVal>
            <c:numRef>
              <c:f>Auswertung!$S$2:$S$4</c:f>
              <c:numCache>
                <c:formatCode>0.0000</c:formatCode>
                <c:ptCount val="3"/>
                <c:pt idx="0">
                  <c:v>8.5225678811739064E-2</c:v>
                </c:pt>
                <c:pt idx="1">
                  <c:v>0.2370957122614516</c:v>
                </c:pt>
                <c:pt idx="2">
                  <c:v>0.28019660757032588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2B-46CF-A05F-356C419E9D6B}"/>
            </c:ext>
          </c:extLst>
        </c:ser>
        <c:ser>
          <c:idx val="2"/>
          <c:order val="2"/>
          <c:tx>
            <c:v>Vai [kN]</c:v>
          </c:tx>
          <c:spPr>
            <a:ln w="12700">
              <a:solidFill>
                <a:srgbClr val="7030A0"/>
              </a:solidFill>
            </a:ln>
          </c:spPr>
          <c:marker>
            <c:symbol val="none"/>
          </c:marker>
          <c:xVal>
            <c:numRef>
              <c:f>Auswertung!$A$2:$A$4</c:f>
              <c:numCache>
                <c:formatCode>General</c:formatCode>
                <c:ptCount val="3"/>
                <c:pt idx="0">
                  <c:v>153</c:v>
                </c:pt>
                <c:pt idx="1">
                  <c:v>151.5</c:v>
                </c:pt>
                <c:pt idx="2">
                  <c:v>150</c:v>
                </c:pt>
              </c:numCache>
            </c:numRef>
          </c:xVal>
          <c:yVal>
            <c:numRef>
              <c:f>Auswertung!$T$2:$T$4</c:f>
              <c:numCache>
                <c:formatCode>0.0000</c:formatCode>
                <c:ptCount val="3"/>
                <c:pt idx="0">
                  <c:v>5.7096940520143691E-2</c:v>
                </c:pt>
                <c:pt idx="1">
                  <c:v>6.4433980231703797E-2</c:v>
                </c:pt>
                <c:pt idx="2">
                  <c:v>7.6352451197918877E-2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62B-46CF-A05F-356C419E9D6B}"/>
            </c:ext>
          </c:extLst>
        </c:ser>
        <c:ser>
          <c:idx val="3"/>
          <c:order val="3"/>
          <c:tx>
            <c:v>Vda [kN]</c:v>
          </c:tx>
          <c:spPr>
            <a:ln w="12700">
              <a:solidFill>
                <a:srgbClr val="ED7D31"/>
              </a:solidFill>
            </a:ln>
          </c:spPr>
          <c:marker>
            <c:symbol val="none"/>
          </c:marker>
          <c:xVal>
            <c:numRef>
              <c:f>Auswertung!$A$2:$A$4</c:f>
              <c:numCache>
                <c:formatCode>General</c:formatCode>
                <c:ptCount val="3"/>
                <c:pt idx="0">
                  <c:v>153</c:v>
                </c:pt>
                <c:pt idx="1">
                  <c:v>151.5</c:v>
                </c:pt>
                <c:pt idx="2">
                  <c:v>150</c:v>
                </c:pt>
              </c:numCache>
            </c:numRef>
          </c:xVal>
          <c:yVal>
            <c:numRef>
              <c:f>Auswertung!$U$2:$U$4</c:f>
              <c:numCache>
                <c:formatCode>0.0000</c:formatCode>
                <c:ptCount val="3"/>
                <c:pt idx="0">
                  <c:v>5.8241291340520598E-2</c:v>
                </c:pt>
                <c:pt idx="1">
                  <c:v>0.10703831532120719</c:v>
                </c:pt>
                <c:pt idx="2">
                  <c:v>0.12766713401657201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62B-46CF-A05F-356C419E9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  <c:max val="200"/>
          <c:min val="50"/>
        </c:scaling>
        <c:delete val="0"/>
        <c:axPos val="b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x0 [mm]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50030002"/>
        <c:crosses val="autoZero"/>
        <c:crossBetween val="midCat"/>
        <c:majorUnit val="25"/>
      </c:valAx>
      <c:valAx>
        <c:axId val="50030002"/>
        <c:scaling>
          <c:orientation val="minMax"/>
          <c:max val="40"/>
          <c:min val="0"/>
        </c:scaling>
        <c:delete val="0"/>
        <c:axPos val="l"/>
        <c:majorGridlines>
          <c:spPr>
            <a:ln w="6350">
              <a:solidFill>
                <a:srgbClr val="BFBFBF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Vi [kN]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50030001"/>
        <c:crosses val="autoZero"/>
        <c:crossBetween val="midCat"/>
        <c:majorUnit val="5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85725</xdr:colOff>
      <xdr:row>4</xdr:row>
      <xdr:rowOff>123825</xdr:rowOff>
    </xdr:from>
    <xdr:to>
      <xdr:col>8</xdr:col>
      <xdr:colOff>409575</xdr:colOff>
      <xdr:row>27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5</xdr:row>
      <xdr:rowOff>104775</xdr:rowOff>
    </xdr:from>
    <xdr:to>
      <xdr:col>15</xdr:col>
      <xdr:colOff>323850</xdr:colOff>
      <xdr:row>28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762000</xdr:colOff>
      <xdr:row>5</xdr:row>
      <xdr:rowOff>104775</xdr:rowOff>
    </xdr:from>
    <xdr:to>
      <xdr:col>22</xdr:col>
      <xdr:colOff>266700</xdr:colOff>
      <xdr:row>28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9.140625" defaultRowHeight="15" x14ac:dyDescent="0.25"/>
  <cols>
    <col min="1" max="1" width="12.28515625" customWidth="1"/>
    <col min="2" max="2" width="12.28515625" style="1" customWidth="1"/>
    <col min="3" max="32" width="12.28515625" customWidth="1"/>
    <col min="33" max="37" width="12.28515625" style="1" customWidth="1"/>
    <col min="38" max="47" width="12.28515625" customWidth="1"/>
    <col min="48" max="48" width="12.28515625" style="1" customWidth="1"/>
    <col min="49" max="53" width="12.28515625" customWidth="1"/>
  </cols>
  <sheetData>
    <row r="1" spans="1:5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47</v>
      </c>
      <c r="R1" s="3" t="s">
        <v>48</v>
      </c>
      <c r="S1" s="3" t="s">
        <v>49</v>
      </c>
      <c r="T1" s="3" t="s">
        <v>50</v>
      </c>
      <c r="U1" s="3" t="s">
        <v>51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</row>
    <row r="2" spans="1:52" x14ac:dyDescent="0.25">
      <c r="A2">
        <v>153</v>
      </c>
      <c r="B2" s="1">
        <v>1.3068969880236621E-6</v>
      </c>
      <c r="C2">
        <v>1.5279386913433499</v>
      </c>
      <c r="D2">
        <v>1.654263309871069E-4</v>
      </c>
      <c r="E2">
        <v>4.2814678782280083E-2</v>
      </c>
      <c r="F2">
        <v>23.067424776736271</v>
      </c>
      <c r="G2">
        <v>24.067424776736271</v>
      </c>
      <c r="H2">
        <v>7.22022743302088</v>
      </c>
      <c r="I2">
        <v>16.84719734371539</v>
      </c>
      <c r="J2">
        <v>0.1260295386398779</v>
      </c>
      <c r="K2">
        <v>0.29406892349304842</v>
      </c>
      <c r="L2">
        <v>0.42009846213292618</v>
      </c>
      <c r="M2">
        <v>1.553343034274953</v>
      </c>
      <c r="N2">
        <v>1.553343034274953</v>
      </c>
      <c r="O2">
        <v>122.93257310432909</v>
      </c>
      <c r="P2">
        <v>-9.2310765314323362E-2</v>
      </c>
      <c r="Q2" s="4">
        <f t="shared" ref="Q2:U4" si="0">V2/1000</f>
        <v>19.852390897432009</v>
      </c>
      <c r="R2" s="4">
        <f t="shared" si="0"/>
        <v>19.651826986759598</v>
      </c>
      <c r="S2" s="4">
        <f t="shared" si="0"/>
        <v>8.5225678811739064E-2</v>
      </c>
      <c r="T2" s="4">
        <f t="shared" si="0"/>
        <v>5.7096940520143691E-2</v>
      </c>
      <c r="U2" s="4">
        <f t="shared" si="0"/>
        <v>5.8241291340520598E-2</v>
      </c>
      <c r="V2">
        <v>19852.390897432011</v>
      </c>
      <c r="W2">
        <v>19651.826986759599</v>
      </c>
      <c r="X2">
        <v>85.225678811739058</v>
      </c>
      <c r="Y2">
        <v>57.09694052014369</v>
      </c>
      <c r="Z2">
        <v>58.241291340520597</v>
      </c>
      <c r="AA2">
        <v>79072.046872128427</v>
      </c>
      <c r="AB2">
        <v>51047.451291699181</v>
      </c>
      <c r="AC2">
        <v>4883.3196223113009</v>
      </c>
      <c r="AD2">
        <v>57.10663991029093</v>
      </c>
      <c r="AE2">
        <v>5.7400238201093717E-2</v>
      </c>
      <c r="AF2">
        <v>23142.981440369851</v>
      </c>
      <c r="AG2" s="1">
        <v>-3.9583920141694762E-8</v>
      </c>
      <c r="AH2" s="1">
        <v>9.1735052132335682E-7</v>
      </c>
      <c r="AI2" s="1">
        <v>-9.2544201490962763E-7</v>
      </c>
      <c r="AJ2" s="1">
        <v>9.1858307404990569E-8</v>
      </c>
      <c r="AK2" s="1">
        <v>-1.167426024314306E-6</v>
      </c>
      <c r="AL2">
        <v>1.527938630861547</v>
      </c>
      <c r="AM2">
        <v>1.6542648274103791E-4</v>
      </c>
      <c r="AN2">
        <v>4.2814639159777478E-2</v>
      </c>
      <c r="AO2">
        <v>23.067426895670859</v>
      </c>
      <c r="AP2">
        <v>2.1527784888968279E-2</v>
      </c>
      <c r="AQ2">
        <v>2.1527784888968279E-2</v>
      </c>
      <c r="AR2">
        <v>2.4315179466650079E-2</v>
      </c>
      <c r="AS2">
        <v>3.5491710299735972E-4</v>
      </c>
      <c r="AT2">
        <v>6.9495347243976043E-5</v>
      </c>
      <c r="AU2">
        <v>1.1579853791872649E-4</v>
      </c>
      <c r="AV2" s="1">
        <v>9.6839450130730797E-5</v>
      </c>
      <c r="AW2">
        <v>-1.205248982906065E-4</v>
      </c>
      <c r="AX2">
        <v>0.1096620660857085</v>
      </c>
      <c r="AY2">
        <v>2.595297263503586</v>
      </c>
      <c r="AZ2">
        <v>2.6</v>
      </c>
    </row>
    <row r="3" spans="1:52" x14ac:dyDescent="0.25">
      <c r="A3">
        <v>151.5</v>
      </c>
      <c r="B3" s="1">
        <v>1.173313600522512E-3</v>
      </c>
      <c r="C3">
        <v>1.5216464328541921</v>
      </c>
      <c r="D3">
        <v>1.7368983401803601E-4</v>
      </c>
      <c r="E3">
        <v>4.7672044189804197E-2</v>
      </c>
      <c r="F3">
        <v>7.414490158065945</v>
      </c>
      <c r="G3">
        <v>31.435765904349239</v>
      </c>
      <c r="H3">
        <v>9.4307297713047706</v>
      </c>
      <c r="I3">
        <v>22.005036133044459</v>
      </c>
      <c r="J3">
        <v>0.35198273930487561</v>
      </c>
      <c r="K3">
        <v>0.384099334450067</v>
      </c>
      <c r="L3">
        <v>0.73608207375494183</v>
      </c>
      <c r="M3">
        <v>1.5334906837957469</v>
      </c>
      <c r="N3">
        <v>1.553343034274953</v>
      </c>
      <c r="O3">
        <v>117.0675126528286</v>
      </c>
      <c r="P3">
        <v>-1885.262736747814</v>
      </c>
      <c r="Q3" s="4">
        <f t="shared" si="0"/>
        <v>19.806267311800539</v>
      </c>
      <c r="R3" s="4">
        <f t="shared" si="0"/>
        <v>19.39769930398618</v>
      </c>
      <c r="S3" s="4">
        <f t="shared" si="0"/>
        <v>0.2370957122614516</v>
      </c>
      <c r="T3" s="4">
        <f t="shared" si="0"/>
        <v>6.4433980231703797E-2</v>
      </c>
      <c r="U3" s="4">
        <f t="shared" si="0"/>
        <v>0.10703831532120719</v>
      </c>
      <c r="V3">
        <v>19806.26731180054</v>
      </c>
      <c r="W3">
        <v>19397.699303986181</v>
      </c>
      <c r="X3">
        <v>237.09571226145161</v>
      </c>
      <c r="Y3">
        <v>64.433980231703799</v>
      </c>
      <c r="Z3">
        <v>107.03831532120719</v>
      </c>
      <c r="AA3">
        <v>81367.683472667326</v>
      </c>
      <c r="AB3">
        <v>48584.693587715286</v>
      </c>
      <c r="AC3">
        <v>6356.9663169345649</v>
      </c>
      <c r="AD3">
        <v>64.44483299489255</v>
      </c>
      <c r="AE3">
        <v>5.9447559957197867E-2</v>
      </c>
      <c r="AF3">
        <v>24546.368004168151</v>
      </c>
      <c r="AG3" s="1">
        <v>-9.5387307230643259E-4</v>
      </c>
      <c r="AH3" s="1">
        <v>3.9761281599370868E-4</v>
      </c>
      <c r="AI3" s="1">
        <v>3.3273540134892698E-4</v>
      </c>
      <c r="AJ3" s="1">
        <v>-4.4495187194404368E-4</v>
      </c>
      <c r="AK3" s="1">
        <v>-2.3169674449206899E-2</v>
      </c>
      <c r="AL3">
        <v>1.520255389263357</v>
      </c>
      <c r="AM3">
        <v>1.736856150775405E-4</v>
      </c>
      <c r="AN3">
        <v>4.7642669629892241E-2</v>
      </c>
      <c r="AO3">
        <v>7.3650625704351143</v>
      </c>
      <c r="AP3">
        <v>2.1949191072836639E-2</v>
      </c>
      <c r="AQ3">
        <v>2.1959914161376382E-2</v>
      </c>
      <c r="AR3">
        <v>2.5780935301394178E-2</v>
      </c>
      <c r="AS3">
        <v>3.2219237829440769E-4</v>
      </c>
      <c r="AT3">
        <v>1.277960543786242E-4</v>
      </c>
      <c r="AU3">
        <v>1.2282054209054649E-4</v>
      </c>
      <c r="AV3" s="1">
        <v>9.6785054834678643E-5</v>
      </c>
      <c r="AW3">
        <v>-1.2525196337721559E-4</v>
      </c>
      <c r="AX3">
        <v>0.12539526558155481</v>
      </c>
      <c r="AY3">
        <v>2.5938394695693869</v>
      </c>
      <c r="AZ3">
        <v>2.6</v>
      </c>
    </row>
    <row r="4" spans="1:52" x14ac:dyDescent="0.25">
      <c r="A4">
        <v>150</v>
      </c>
      <c r="B4" s="1">
        <v>2.8308918341438582E-4</v>
      </c>
      <c r="C4">
        <v>1.521208469679393</v>
      </c>
      <c r="D4">
        <v>1.7529934531976041E-4</v>
      </c>
      <c r="E4">
        <v>4.9728986664659219E-2</v>
      </c>
      <c r="F4">
        <v>2.6260439766908998</v>
      </c>
      <c r="G4">
        <v>34.075803962550033</v>
      </c>
      <c r="H4">
        <v>10.22274118876501</v>
      </c>
      <c r="I4">
        <v>23.85306277378502</v>
      </c>
      <c r="J4">
        <v>0.41655264238676531</v>
      </c>
      <c r="K4">
        <v>0.45307315674062493</v>
      </c>
      <c r="L4">
        <v>0.8696257991273918</v>
      </c>
      <c r="M4">
        <v>1.5300712100997931</v>
      </c>
      <c r="N4">
        <v>1.5518042717489791</v>
      </c>
      <c r="O4">
        <v>115.9243042238608</v>
      </c>
      <c r="P4">
        <v>-537.63843991075464</v>
      </c>
      <c r="Q4" s="4">
        <f t="shared" si="0"/>
        <v>19.884363314534422</v>
      </c>
      <c r="R4" s="4">
        <f t="shared" si="0"/>
        <v>19.400147121749612</v>
      </c>
      <c r="S4" s="4">
        <f t="shared" si="0"/>
        <v>0.28019660757032588</v>
      </c>
      <c r="T4" s="4">
        <f t="shared" si="0"/>
        <v>7.6352451197918877E-2</v>
      </c>
      <c r="U4" s="4">
        <f t="shared" si="0"/>
        <v>0.12766713401657201</v>
      </c>
      <c r="V4">
        <v>19884.363314534421</v>
      </c>
      <c r="W4">
        <v>19400.147121749611</v>
      </c>
      <c r="X4">
        <v>280.19660757032591</v>
      </c>
      <c r="Y4">
        <v>76.352451197918882</v>
      </c>
      <c r="Z4">
        <v>127.66713401657201</v>
      </c>
      <c r="AA4">
        <v>80547.145053145607</v>
      </c>
      <c r="AB4">
        <v>48107.925471509778</v>
      </c>
      <c r="AC4">
        <v>6882.0938515867138</v>
      </c>
      <c r="AD4">
        <v>76.367669890587663</v>
      </c>
      <c r="AE4">
        <v>7.6155781154875382E-2</v>
      </c>
      <c r="AF4">
        <v>25026.720032453981</v>
      </c>
      <c r="AG4" s="1">
        <v>-2.7537890700923828E-4</v>
      </c>
      <c r="AH4" s="1">
        <v>-3.7788730768317791E-5</v>
      </c>
      <c r="AI4" s="1">
        <v>-3.4621780512056333E-5</v>
      </c>
      <c r="AJ4" s="1">
        <v>-4.0979110308980722E-5</v>
      </c>
      <c r="AK4" s="1">
        <v>-6.6748292513163169E-3</v>
      </c>
      <c r="AL4">
        <v>1.520772412470035</v>
      </c>
      <c r="AM4">
        <v>1.7531365328089839E-4</v>
      </c>
      <c r="AN4">
        <v>4.9737544017176998E-2</v>
      </c>
      <c r="AO4">
        <v>2.6399298717899882</v>
      </c>
      <c r="AP4">
        <v>2.2100770802033098E-2</v>
      </c>
      <c r="AQ4">
        <v>2.2113533526657288E-2</v>
      </c>
      <c r="AR4">
        <v>2.6296213452920991E-2</v>
      </c>
      <c r="AS4">
        <v>3.469886506635698E-4</v>
      </c>
      <c r="AT4">
        <v>1.5246303721700929E-4</v>
      </c>
      <c r="AU4">
        <v>1.252240380577846E-4</v>
      </c>
      <c r="AV4" s="1">
        <v>9.6780387100998071E-5</v>
      </c>
      <c r="AW4">
        <v>-1.252287702940697E-4</v>
      </c>
      <c r="AX4">
        <v>0.1266095746522547</v>
      </c>
      <c r="AY4">
        <v>2.5937143743067481</v>
      </c>
      <c r="AZ4">
        <v>2.6</v>
      </c>
    </row>
  </sheetData>
  <conditionalFormatting sqref="P2:P5">
    <cfRule type="cellIs" dxfId="1" priority="1" operator="greaterThan">
      <formula>1</formula>
    </cfRule>
    <cfRule type="cellIs" dxfId="0" priority="2" operator="lessThan">
      <formula>-1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Auswertung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Samet Uyar</cp:lastModifiedBy>
  <dcterms:created xsi:type="dcterms:W3CDTF">2025-12-27T08:01:28Z</dcterms:created>
  <dcterms:modified xsi:type="dcterms:W3CDTF">2025-12-27T08:36:26Z</dcterms:modified>
</cp:coreProperties>
</file>